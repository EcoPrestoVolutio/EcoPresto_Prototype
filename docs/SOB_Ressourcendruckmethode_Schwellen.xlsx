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343" documentId="8_{AB460D3A-3CCF-4B2D-830F-44BF5BD3A8BD}" xr6:coauthVersionLast="47" xr6:coauthVersionMax="47" xr10:uidLastSave="{65D8838E-4B17-4E21-81EF-21654668C2C8}"/>
  <bookViews>
    <workbookView xWindow="51720" yWindow="-120" windowWidth="38640" windowHeight="21120" tabRatio="635" activeTab="3" xr2:uid="{00000000-000D-0000-FFFF-FFFF00000000}"/>
  </bookViews>
  <sheets>
    <sheet name="Overview" sheetId="16" r:id="rId1"/>
    <sheet name="Materials and energy" sheetId="22" r:id="rId2"/>
    <sheet name="ERP" sheetId="24" r:id="rId3"/>
    <sheet name="RP_wood" sheetId="31" r:id="rId4"/>
    <sheet name="RP_concrete" sheetId="32" r:id="rId5"/>
    <sheet name="RP_SICUT" sheetId="35" r:id="rId6"/>
  </sheets>
  <definedNames>
    <definedName name="distance_to_customer" localSheetId="5">#REF!</definedName>
    <definedName name="distance_to_customer">#REF!</definedName>
    <definedName name="heat_pump_factor">'Materials and energy'!$B$64</definedName>
    <definedName name="lifetime" localSheetId="4">#REF!</definedName>
    <definedName name="lifetime" localSheetId="5">#REF!</definedName>
    <definedName name="lifetime">#REF!</definedName>
    <definedName name="lifetime_concrete">'Materials and energy'!$B$25</definedName>
    <definedName name="lifetime_SICUT">'Materials and energy'!$B$27</definedName>
    <definedName name="lifetime_wood">'Materials and energy'!$B$26</definedName>
    <definedName name="list_electricity" localSheetId="4">#REF!</definedName>
    <definedName name="list_electricity" localSheetId="5">#REF!</definedName>
    <definedName name="list_electricity" localSheetId="3">#REF!</definedName>
    <definedName name="list_electricity">#REF!</definedName>
    <definedName name="milling_electricity" localSheetId="5">#REF!</definedName>
    <definedName name="milling_electric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35" l="1"/>
  <c r="R44" i="35"/>
  <c r="R43" i="35"/>
  <c r="R40" i="35"/>
  <c r="R39" i="35"/>
  <c r="R38" i="35"/>
  <c r="R37" i="35"/>
  <c r="I39" i="35"/>
  <c r="I38" i="35"/>
  <c r="I37" i="35"/>
  <c r="I34" i="35"/>
  <c r="I33" i="35"/>
  <c r="I35" i="35" s="1"/>
  <c r="L38" i="35"/>
  <c r="O38" i="35"/>
  <c r="R24" i="35"/>
  <c r="R25" i="35" s="1"/>
  <c r="R22" i="35"/>
  <c r="R132" i="35"/>
  <c r="R131" i="35"/>
  <c r="R130" i="35"/>
  <c r="R129" i="35"/>
  <c r="R128" i="35"/>
  <c r="R118" i="35"/>
  <c r="R117" i="35"/>
  <c r="R116" i="35"/>
  <c r="R115" i="35"/>
  <c r="R114" i="35"/>
  <c r="R103" i="35"/>
  <c r="R102" i="35"/>
  <c r="R101" i="35"/>
  <c r="R100" i="35"/>
  <c r="R99" i="35"/>
  <c r="R88" i="35"/>
  <c r="R87" i="35"/>
  <c r="R86" i="35"/>
  <c r="R85" i="35"/>
  <c r="R84" i="35"/>
  <c r="R83" i="35"/>
  <c r="R82" i="35"/>
  <c r="R81" i="35"/>
  <c r="R80" i="35"/>
  <c r="R79" i="35"/>
  <c r="R78" i="35"/>
  <c r="R67" i="35"/>
  <c r="R66" i="35"/>
  <c r="R65" i="35"/>
  <c r="R68" i="35" s="1"/>
  <c r="R62" i="35"/>
  <c r="R61" i="35"/>
  <c r="R60" i="35"/>
  <c r="R63" i="35" s="1"/>
  <c r="R56" i="35"/>
  <c r="R55" i="35"/>
  <c r="R57" i="35" s="1"/>
  <c r="R52" i="35"/>
  <c r="R53" i="35" s="1"/>
  <c r="R50" i="35"/>
  <c r="R49" i="35"/>
  <c r="R34" i="35"/>
  <c r="R33" i="35"/>
  <c r="R32" i="35"/>
  <c r="R28" i="35"/>
  <c r="R27" i="35"/>
  <c r="R134" i="35" s="1"/>
  <c r="R135" i="35" s="1"/>
  <c r="R137" i="35" s="1"/>
  <c r="R21" i="35"/>
  <c r="O132" i="35"/>
  <c r="O131" i="35"/>
  <c r="O130" i="35"/>
  <c r="O129" i="35"/>
  <c r="O128" i="35"/>
  <c r="O118" i="35"/>
  <c r="O117" i="35"/>
  <c r="O116" i="35"/>
  <c r="O115" i="35"/>
  <c r="O114" i="35"/>
  <c r="O103" i="35"/>
  <c r="O102" i="35"/>
  <c r="O101" i="35"/>
  <c r="O100" i="35"/>
  <c r="O99" i="35"/>
  <c r="O88" i="35"/>
  <c r="O87" i="35"/>
  <c r="O86" i="35"/>
  <c r="O85" i="35"/>
  <c r="O84" i="35"/>
  <c r="O83" i="35"/>
  <c r="O82" i="35"/>
  <c r="O81" i="35"/>
  <c r="O80" i="35"/>
  <c r="O79" i="35"/>
  <c r="O78" i="35"/>
  <c r="O67" i="35"/>
  <c r="O66" i="35"/>
  <c r="O65" i="35"/>
  <c r="O68" i="35" s="1"/>
  <c r="O62" i="35"/>
  <c r="O61" i="35"/>
  <c r="O60" i="35"/>
  <c r="O63" i="35" s="1"/>
  <c r="O56" i="35"/>
  <c r="O55" i="35"/>
  <c r="O58" i="35" s="1"/>
  <c r="O52" i="35"/>
  <c r="O53" i="35" s="1"/>
  <c r="O49" i="35"/>
  <c r="O50" i="35" s="1"/>
  <c r="O39" i="35"/>
  <c r="O37" i="35"/>
  <c r="O34" i="35"/>
  <c r="O33" i="35"/>
  <c r="O32" i="35"/>
  <c r="O43" i="35" s="1"/>
  <c r="O28" i="35"/>
  <c r="O27" i="35"/>
  <c r="O121" i="35" s="1"/>
  <c r="O24" i="35"/>
  <c r="O25" i="35" s="1"/>
  <c r="O21" i="35"/>
  <c r="O22" i="35" s="1"/>
  <c r="L132" i="35"/>
  <c r="L131" i="35"/>
  <c r="L130" i="35"/>
  <c r="L129" i="35"/>
  <c r="L128" i="35"/>
  <c r="L118" i="35"/>
  <c r="L117" i="35"/>
  <c r="L116" i="35"/>
  <c r="L115" i="35"/>
  <c r="L114" i="35"/>
  <c r="L103" i="35"/>
  <c r="L102" i="35"/>
  <c r="L101" i="35"/>
  <c r="L100" i="35"/>
  <c r="L99" i="35"/>
  <c r="L88" i="35"/>
  <c r="L87" i="35"/>
  <c r="L86" i="35"/>
  <c r="L85" i="35"/>
  <c r="L84" i="35"/>
  <c r="L83" i="35"/>
  <c r="L82" i="35"/>
  <c r="L81" i="35"/>
  <c r="L80" i="35"/>
  <c r="L79" i="35"/>
  <c r="L78" i="35"/>
  <c r="L67" i="35"/>
  <c r="L66" i="35"/>
  <c r="L65" i="35"/>
  <c r="L68" i="35" s="1"/>
  <c r="L62" i="35"/>
  <c r="L61" i="35"/>
  <c r="L60" i="35"/>
  <c r="L71" i="35" s="1"/>
  <c r="L56" i="35"/>
  <c r="L55" i="35"/>
  <c r="L58" i="35" s="1"/>
  <c r="L52" i="35"/>
  <c r="L53" i="35" s="1"/>
  <c r="L49" i="35"/>
  <c r="L50" i="35" s="1"/>
  <c r="L39" i="35"/>
  <c r="L37" i="35"/>
  <c r="L34" i="35"/>
  <c r="L33" i="35"/>
  <c r="L32" i="35"/>
  <c r="L43" i="35" s="1"/>
  <c r="L28" i="35"/>
  <c r="L27" i="35"/>
  <c r="L134" i="35" s="1"/>
  <c r="L135" i="35" s="1"/>
  <c r="L137" i="35" s="1"/>
  <c r="L24" i="35"/>
  <c r="L25" i="35" s="1"/>
  <c r="L21" i="35"/>
  <c r="L22" i="35" s="1"/>
  <c r="I134" i="35"/>
  <c r="J128" i="35"/>
  <c r="I121" i="35"/>
  <c r="I120" i="35"/>
  <c r="J114" i="35"/>
  <c r="I106" i="35"/>
  <c r="I107" i="35"/>
  <c r="J99" i="35"/>
  <c r="I92" i="35"/>
  <c r="I90" i="35"/>
  <c r="J80" i="35"/>
  <c r="J79" i="35"/>
  <c r="J78" i="35"/>
  <c r="J83" i="35"/>
  <c r="I67" i="35"/>
  <c r="I66" i="35"/>
  <c r="I65" i="35"/>
  <c r="I62" i="35"/>
  <c r="I61" i="35"/>
  <c r="I60" i="35"/>
  <c r="I57" i="35"/>
  <c r="I56" i="35"/>
  <c r="I55" i="35"/>
  <c r="I53" i="35"/>
  <c r="I52" i="35"/>
  <c r="I32" i="35"/>
  <c r="I29" i="35"/>
  <c r="I28" i="35"/>
  <c r="I27" i="35"/>
  <c r="I24" i="35"/>
  <c r="L40" i="35" l="1"/>
  <c r="O40" i="35"/>
  <c r="R29" i="35"/>
  <c r="R30" i="35"/>
  <c r="R35" i="35"/>
  <c r="R42" i="35"/>
  <c r="R70" i="35"/>
  <c r="R71" i="35"/>
  <c r="R58" i="35"/>
  <c r="R120" i="35"/>
  <c r="R121" i="35"/>
  <c r="R74" i="35"/>
  <c r="O29" i="35"/>
  <c r="O35" i="35"/>
  <c r="O42" i="35"/>
  <c r="O44" i="35" s="1"/>
  <c r="O70" i="35"/>
  <c r="O71" i="35"/>
  <c r="O120" i="35"/>
  <c r="O122" i="35" s="1"/>
  <c r="O124" i="35" s="1"/>
  <c r="O46" i="35"/>
  <c r="O74" i="35"/>
  <c r="O134" i="35"/>
  <c r="O135" i="35" s="1"/>
  <c r="O137" i="35" s="1"/>
  <c r="O30" i="35"/>
  <c r="O57" i="35"/>
  <c r="L29" i="35"/>
  <c r="L57" i="35"/>
  <c r="L30" i="35"/>
  <c r="L120" i="35"/>
  <c r="L35" i="35"/>
  <c r="L63" i="35"/>
  <c r="L121" i="35"/>
  <c r="L42" i="35"/>
  <c r="L44" i="35" s="1"/>
  <c r="L70" i="35"/>
  <c r="L72" i="35" s="1"/>
  <c r="I91" i="35"/>
  <c r="I22" i="35"/>
  <c r="M50" i="16"/>
  <c r="F137" i="35"/>
  <c r="F124" i="35"/>
  <c r="F110" i="35"/>
  <c r="F95" i="35"/>
  <c r="F74" i="35"/>
  <c r="F46" i="35"/>
  <c r="E56" i="16"/>
  <c r="E55" i="16"/>
  <c r="E54" i="16"/>
  <c r="E53" i="16"/>
  <c r="E52" i="16"/>
  <c r="E51" i="16"/>
  <c r="E50" i="16"/>
  <c r="E47" i="16"/>
  <c r="E46" i="16"/>
  <c r="F45" i="31"/>
  <c r="O34" i="31"/>
  <c r="L45" i="16"/>
  <c r="K45" i="16"/>
  <c r="J45" i="16"/>
  <c r="G45" i="16"/>
  <c r="F45" i="16"/>
  <c r="E45" i="16"/>
  <c r="S188" i="32"/>
  <c r="R188" i="32"/>
  <c r="S187" i="32"/>
  <c r="R187" i="32"/>
  <c r="S186" i="32"/>
  <c r="R186" i="32"/>
  <c r="S185" i="32"/>
  <c r="R185" i="32"/>
  <c r="S184" i="32"/>
  <c r="R184" i="32"/>
  <c r="S174" i="32"/>
  <c r="R174" i="32"/>
  <c r="S173" i="32"/>
  <c r="R173" i="32"/>
  <c r="S172" i="32"/>
  <c r="R172" i="32"/>
  <c r="S171" i="32"/>
  <c r="R171" i="32"/>
  <c r="S170" i="32"/>
  <c r="R170" i="32"/>
  <c r="S160" i="32"/>
  <c r="S159" i="32"/>
  <c r="R159" i="32"/>
  <c r="S158" i="32"/>
  <c r="R158" i="32"/>
  <c r="S157" i="32"/>
  <c r="R157" i="32"/>
  <c r="S156" i="32"/>
  <c r="R156" i="32"/>
  <c r="S155" i="32"/>
  <c r="R155" i="32"/>
  <c r="S144" i="32"/>
  <c r="R144" i="32"/>
  <c r="S143" i="32"/>
  <c r="R143" i="32"/>
  <c r="S142" i="32"/>
  <c r="R142" i="32"/>
  <c r="S141" i="32"/>
  <c r="R141" i="32"/>
  <c r="S140" i="32"/>
  <c r="R140" i="32"/>
  <c r="S139" i="32"/>
  <c r="R139" i="32"/>
  <c r="S138" i="32"/>
  <c r="R138" i="32"/>
  <c r="S137" i="32"/>
  <c r="R137" i="32"/>
  <c r="S136" i="32"/>
  <c r="R136" i="32"/>
  <c r="S135" i="32"/>
  <c r="R135" i="32"/>
  <c r="S134" i="32"/>
  <c r="R134" i="32"/>
  <c r="R123" i="32"/>
  <c r="R122" i="32"/>
  <c r="R121" i="32"/>
  <c r="R118" i="32"/>
  <c r="R117" i="32"/>
  <c r="R116" i="32"/>
  <c r="R112" i="32"/>
  <c r="R111" i="32"/>
  <c r="R108" i="32"/>
  <c r="R109" i="32" s="1"/>
  <c r="R105" i="32"/>
  <c r="R106" i="32" s="1"/>
  <c r="R95" i="32"/>
  <c r="R94" i="32"/>
  <c r="R93" i="32"/>
  <c r="R90" i="32"/>
  <c r="R89" i="32"/>
  <c r="R88" i="32"/>
  <c r="R84" i="32"/>
  <c r="R83" i="32"/>
  <c r="R80" i="32"/>
  <c r="R81" i="32" s="1"/>
  <c r="R77" i="32"/>
  <c r="R78" i="32" s="1"/>
  <c r="R67" i="32"/>
  <c r="R66" i="32"/>
  <c r="R65" i="32"/>
  <c r="R62" i="32"/>
  <c r="R61" i="32"/>
  <c r="R60" i="32"/>
  <c r="R56" i="32"/>
  <c r="R55" i="32"/>
  <c r="R52" i="32"/>
  <c r="R53" i="32" s="1"/>
  <c r="R49" i="32"/>
  <c r="R50" i="32" s="1"/>
  <c r="R39" i="32"/>
  <c r="R38" i="32"/>
  <c r="R37" i="32"/>
  <c r="R34" i="32"/>
  <c r="R33" i="32"/>
  <c r="R32" i="32"/>
  <c r="R28" i="32"/>
  <c r="R27" i="32"/>
  <c r="R176" i="32" s="1"/>
  <c r="R24" i="32"/>
  <c r="R25" i="32" s="1"/>
  <c r="R21" i="32"/>
  <c r="R22" i="32" s="1"/>
  <c r="P188" i="32"/>
  <c r="O188" i="32"/>
  <c r="P187" i="32"/>
  <c r="O187" i="32"/>
  <c r="P186" i="32"/>
  <c r="O186" i="32"/>
  <c r="P185" i="32"/>
  <c r="O185" i="32"/>
  <c r="P184" i="32"/>
  <c r="O184" i="32"/>
  <c r="P174" i="32"/>
  <c r="O174" i="32"/>
  <c r="P173" i="32"/>
  <c r="O173" i="32"/>
  <c r="P172" i="32"/>
  <c r="O172" i="32"/>
  <c r="P171" i="32"/>
  <c r="O171" i="32"/>
  <c r="P170" i="32"/>
  <c r="O170" i="32"/>
  <c r="P160" i="32"/>
  <c r="P159" i="32"/>
  <c r="O159" i="32"/>
  <c r="P158" i="32"/>
  <c r="O158" i="32"/>
  <c r="P157" i="32"/>
  <c r="O157" i="32"/>
  <c r="P156" i="32"/>
  <c r="O156" i="32"/>
  <c r="P155" i="32"/>
  <c r="O155" i="32"/>
  <c r="P144" i="32"/>
  <c r="O144" i="32"/>
  <c r="P143" i="32"/>
  <c r="O143" i="32"/>
  <c r="P142" i="32"/>
  <c r="O142" i="32"/>
  <c r="P141" i="32"/>
  <c r="O141" i="32"/>
  <c r="P140" i="32"/>
  <c r="O140" i="32"/>
  <c r="P139" i="32"/>
  <c r="O139" i="32"/>
  <c r="P138" i="32"/>
  <c r="O138" i="32"/>
  <c r="P137" i="32"/>
  <c r="O137" i="32"/>
  <c r="P136" i="32"/>
  <c r="O136" i="32"/>
  <c r="P135" i="32"/>
  <c r="O135" i="32"/>
  <c r="P134" i="32"/>
  <c r="O134" i="32"/>
  <c r="O123" i="32"/>
  <c r="O122" i="32"/>
  <c r="O121" i="32"/>
  <c r="O118" i="32"/>
  <c r="O117" i="32"/>
  <c r="O116" i="32"/>
  <c r="O112" i="32"/>
  <c r="O111" i="32"/>
  <c r="O108" i="32"/>
  <c r="O109" i="32" s="1"/>
  <c r="O105" i="32"/>
  <c r="O106" i="32" s="1"/>
  <c r="O95" i="32"/>
  <c r="O94" i="32"/>
  <c r="O93" i="32"/>
  <c r="O90" i="32"/>
  <c r="O89" i="32"/>
  <c r="O88" i="32"/>
  <c r="O84" i="32"/>
  <c r="O83" i="32"/>
  <c r="O80" i="32"/>
  <c r="O81" i="32" s="1"/>
  <c r="O77" i="32"/>
  <c r="O78" i="32" s="1"/>
  <c r="O67" i="32"/>
  <c r="O66" i="32"/>
  <c r="O65" i="32"/>
  <c r="O62" i="32"/>
  <c r="O61" i="32"/>
  <c r="O60" i="32"/>
  <c r="O56" i="32"/>
  <c r="O55" i="32"/>
  <c r="O52" i="32"/>
  <c r="O53" i="32" s="1"/>
  <c r="O49" i="32"/>
  <c r="O50" i="32" s="1"/>
  <c r="O39" i="32"/>
  <c r="O38" i="32"/>
  <c r="O37" i="32"/>
  <c r="O34" i="32"/>
  <c r="O33" i="32"/>
  <c r="O32" i="32"/>
  <c r="O28" i="32"/>
  <c r="O27" i="32"/>
  <c r="O24" i="32"/>
  <c r="O25" i="32" s="1"/>
  <c r="O21" i="32"/>
  <c r="O22" i="32" s="1"/>
  <c r="M188" i="32"/>
  <c r="L188" i="32"/>
  <c r="M187" i="32"/>
  <c r="L187" i="32"/>
  <c r="M186" i="32"/>
  <c r="L186" i="32"/>
  <c r="M185" i="32"/>
  <c r="L185" i="32"/>
  <c r="M184" i="32"/>
  <c r="L184" i="32"/>
  <c r="M174" i="32"/>
  <c r="L174" i="32"/>
  <c r="M173" i="32"/>
  <c r="L173" i="32"/>
  <c r="M172" i="32"/>
  <c r="L172" i="32"/>
  <c r="M171" i="32"/>
  <c r="L171" i="32"/>
  <c r="M170" i="32"/>
  <c r="L170" i="32"/>
  <c r="M160" i="32"/>
  <c r="M159" i="32"/>
  <c r="L159" i="32"/>
  <c r="M158" i="32"/>
  <c r="L158" i="32"/>
  <c r="M157" i="32"/>
  <c r="L157" i="32"/>
  <c r="M156" i="32"/>
  <c r="L156" i="32"/>
  <c r="M155" i="32"/>
  <c r="L155" i="32"/>
  <c r="M144" i="32"/>
  <c r="L144" i="32"/>
  <c r="M143" i="32"/>
  <c r="L143" i="32"/>
  <c r="M142" i="32"/>
  <c r="L142" i="32"/>
  <c r="M141" i="32"/>
  <c r="L141" i="32"/>
  <c r="M140" i="32"/>
  <c r="L140" i="32"/>
  <c r="M139" i="32"/>
  <c r="L139" i="32"/>
  <c r="M138" i="32"/>
  <c r="L138" i="32"/>
  <c r="M137" i="32"/>
  <c r="L137" i="32"/>
  <c r="M136" i="32"/>
  <c r="L136" i="32"/>
  <c r="M135" i="32"/>
  <c r="L135" i="32"/>
  <c r="M134" i="32"/>
  <c r="L134" i="32"/>
  <c r="L123" i="32"/>
  <c r="L122" i="32"/>
  <c r="L121" i="32"/>
  <c r="L124" i="32" s="1"/>
  <c r="L118" i="32"/>
  <c r="L117" i="32"/>
  <c r="L116" i="32"/>
  <c r="L112" i="32"/>
  <c r="L111" i="32"/>
  <c r="L108" i="32"/>
  <c r="L109" i="32" s="1"/>
  <c r="L105" i="32"/>
  <c r="L106" i="32" s="1"/>
  <c r="L95" i="32"/>
  <c r="L94" i="32"/>
  <c r="L93" i="32"/>
  <c r="L90" i="32"/>
  <c r="L89" i="32"/>
  <c r="L88" i="32"/>
  <c r="L84" i="32"/>
  <c r="L83" i="32"/>
  <c r="L80" i="32"/>
  <c r="L81" i="32" s="1"/>
  <c r="L77" i="32"/>
  <c r="L78" i="32" s="1"/>
  <c r="L67" i="32"/>
  <c r="L66" i="32"/>
  <c r="L65" i="32"/>
  <c r="L62" i="32"/>
  <c r="L61" i="32"/>
  <c r="L60" i="32"/>
  <c r="L56" i="32"/>
  <c r="L55" i="32"/>
  <c r="L52" i="32"/>
  <c r="L53" i="32" s="1"/>
  <c r="L49" i="32"/>
  <c r="L50" i="32" s="1"/>
  <c r="L39" i="32"/>
  <c r="L38" i="32"/>
  <c r="L37" i="32"/>
  <c r="L34" i="32"/>
  <c r="L33" i="32"/>
  <c r="L32" i="32"/>
  <c r="L28" i="32"/>
  <c r="L27" i="32"/>
  <c r="L24" i="32"/>
  <c r="L25" i="32" s="1"/>
  <c r="L21" i="32"/>
  <c r="L22" i="32" s="1"/>
  <c r="S132" i="35"/>
  <c r="S131" i="35"/>
  <c r="S130" i="35"/>
  <c r="S129" i="35"/>
  <c r="S128" i="35"/>
  <c r="S118" i="35"/>
  <c r="S117" i="35"/>
  <c r="S116" i="35"/>
  <c r="S115" i="35"/>
  <c r="S114" i="35"/>
  <c r="S104" i="35"/>
  <c r="S103" i="35"/>
  <c r="S102" i="35"/>
  <c r="S101" i="35"/>
  <c r="S100" i="35"/>
  <c r="S99" i="35"/>
  <c r="S88" i="35"/>
  <c r="S87" i="35"/>
  <c r="S86" i="35"/>
  <c r="S85" i="35"/>
  <c r="S84" i="35"/>
  <c r="S83" i="35"/>
  <c r="S82" i="35"/>
  <c r="S81" i="35"/>
  <c r="S80" i="35"/>
  <c r="S79" i="35"/>
  <c r="S78" i="35"/>
  <c r="P132" i="35"/>
  <c r="P131" i="35"/>
  <c r="P130" i="35"/>
  <c r="P129" i="35"/>
  <c r="P128" i="35"/>
  <c r="P118" i="35"/>
  <c r="P117" i="35"/>
  <c r="P116" i="35"/>
  <c r="P115" i="35"/>
  <c r="P114" i="35"/>
  <c r="P104" i="35"/>
  <c r="P103" i="35"/>
  <c r="P102" i="35"/>
  <c r="P101" i="35"/>
  <c r="P100" i="35"/>
  <c r="P99" i="35"/>
  <c r="P88" i="35"/>
  <c r="P87" i="35"/>
  <c r="P86" i="35"/>
  <c r="P85" i="35"/>
  <c r="P84" i="35"/>
  <c r="P83" i="35"/>
  <c r="P82" i="35"/>
  <c r="P81" i="35"/>
  <c r="P80" i="35"/>
  <c r="P79" i="35"/>
  <c r="P78" i="35"/>
  <c r="M132" i="35"/>
  <c r="M131" i="35"/>
  <c r="M130" i="35"/>
  <c r="M129" i="35"/>
  <c r="M128" i="35"/>
  <c r="M118" i="35"/>
  <c r="M117" i="35"/>
  <c r="M116" i="35"/>
  <c r="M115" i="35"/>
  <c r="M114" i="35"/>
  <c r="M104" i="35"/>
  <c r="M103" i="35"/>
  <c r="M102" i="35"/>
  <c r="M101" i="35"/>
  <c r="M100" i="35"/>
  <c r="M99" i="35"/>
  <c r="M88" i="35"/>
  <c r="M87" i="35"/>
  <c r="M86" i="35"/>
  <c r="M85" i="35"/>
  <c r="M84" i="35"/>
  <c r="M83" i="35"/>
  <c r="M82" i="35"/>
  <c r="M81" i="35"/>
  <c r="M80" i="35"/>
  <c r="M79" i="35"/>
  <c r="M78" i="35"/>
  <c r="F49" i="35"/>
  <c r="F24" i="32"/>
  <c r="O79" i="31"/>
  <c r="O80" i="31" s="1"/>
  <c r="O76" i="31"/>
  <c r="O77" i="31" s="1"/>
  <c r="V159" i="31"/>
  <c r="U159" i="31"/>
  <c r="V158" i="31"/>
  <c r="U158" i="31"/>
  <c r="V157" i="31"/>
  <c r="U157" i="31"/>
  <c r="V156" i="31"/>
  <c r="U156" i="31"/>
  <c r="V155" i="31"/>
  <c r="U155" i="31"/>
  <c r="V145" i="31"/>
  <c r="U145" i="31"/>
  <c r="V144" i="31"/>
  <c r="U144" i="31"/>
  <c r="V143" i="31"/>
  <c r="U143" i="31"/>
  <c r="V142" i="31"/>
  <c r="U142" i="31"/>
  <c r="V141" i="31"/>
  <c r="U141" i="31"/>
  <c r="V131" i="31"/>
  <c r="V130" i="31"/>
  <c r="U130" i="31"/>
  <c r="V129" i="31"/>
  <c r="U129" i="31"/>
  <c r="V128" i="31"/>
  <c r="U128" i="31"/>
  <c r="V127" i="31"/>
  <c r="U127" i="31"/>
  <c r="V126" i="31"/>
  <c r="U126" i="31"/>
  <c r="V115" i="31"/>
  <c r="U115" i="31"/>
  <c r="V114" i="31"/>
  <c r="U114" i="31"/>
  <c r="V113" i="31"/>
  <c r="U113" i="31"/>
  <c r="V112" i="31"/>
  <c r="U112" i="31"/>
  <c r="V111" i="31"/>
  <c r="U111" i="31"/>
  <c r="V110" i="31"/>
  <c r="U110" i="31"/>
  <c r="V109" i="31"/>
  <c r="U109" i="31"/>
  <c r="V108" i="31"/>
  <c r="U108" i="31"/>
  <c r="V107" i="31"/>
  <c r="U107" i="31"/>
  <c r="V106" i="31"/>
  <c r="U106" i="31"/>
  <c r="V105" i="31"/>
  <c r="U105" i="31"/>
  <c r="U94" i="31"/>
  <c r="U93" i="31"/>
  <c r="U92" i="31"/>
  <c r="U89" i="31"/>
  <c r="U88" i="31"/>
  <c r="U87" i="31"/>
  <c r="U83" i="31"/>
  <c r="U82" i="31"/>
  <c r="U79" i="31"/>
  <c r="U80" i="31" s="1"/>
  <c r="U76" i="31"/>
  <c r="U77" i="31" s="1"/>
  <c r="U66" i="31"/>
  <c r="U65" i="31"/>
  <c r="U64" i="31"/>
  <c r="U61" i="31"/>
  <c r="U60" i="31"/>
  <c r="U59" i="31"/>
  <c r="U55" i="31"/>
  <c r="U54" i="31"/>
  <c r="U51" i="31"/>
  <c r="U52" i="31" s="1"/>
  <c r="U48" i="31"/>
  <c r="U49" i="31" s="1"/>
  <c r="U38" i="31"/>
  <c r="U37" i="31"/>
  <c r="U36" i="31"/>
  <c r="U33" i="31"/>
  <c r="U32" i="31"/>
  <c r="U31" i="31"/>
  <c r="U27" i="31"/>
  <c r="U26" i="31"/>
  <c r="U23" i="31"/>
  <c r="U24" i="31" s="1"/>
  <c r="U20" i="31"/>
  <c r="U21" i="31" s="1"/>
  <c r="S159" i="31"/>
  <c r="R159" i="31"/>
  <c r="S158" i="31"/>
  <c r="R158" i="31"/>
  <c r="S157" i="31"/>
  <c r="R157" i="31"/>
  <c r="S156" i="31"/>
  <c r="R156" i="31"/>
  <c r="S155" i="31"/>
  <c r="R155" i="31"/>
  <c r="S145" i="31"/>
  <c r="R145" i="31"/>
  <c r="S144" i="31"/>
  <c r="R144" i="31"/>
  <c r="S143" i="31"/>
  <c r="R143" i="31"/>
  <c r="S142" i="31"/>
  <c r="R142" i="31"/>
  <c r="S141" i="31"/>
  <c r="R141" i="31"/>
  <c r="S131" i="31"/>
  <c r="S130" i="31"/>
  <c r="R130" i="31"/>
  <c r="S129" i="31"/>
  <c r="R129" i="31"/>
  <c r="S128" i="31"/>
  <c r="R128" i="31"/>
  <c r="S127" i="31"/>
  <c r="R127" i="31"/>
  <c r="S126" i="31"/>
  <c r="R126" i="31"/>
  <c r="S115" i="31"/>
  <c r="R115" i="31"/>
  <c r="S114" i="31"/>
  <c r="R114" i="31"/>
  <c r="S113" i="31"/>
  <c r="R113" i="31"/>
  <c r="S112" i="31"/>
  <c r="R112" i="31"/>
  <c r="S111" i="31"/>
  <c r="R111" i="31"/>
  <c r="S110" i="31"/>
  <c r="R110" i="31"/>
  <c r="S109" i="31"/>
  <c r="R109" i="31"/>
  <c r="S108" i="31"/>
  <c r="R108" i="31"/>
  <c r="S107" i="31"/>
  <c r="R107" i="31"/>
  <c r="S106" i="31"/>
  <c r="R106" i="31"/>
  <c r="S105" i="31"/>
  <c r="R105" i="31"/>
  <c r="R94" i="31"/>
  <c r="R93" i="31"/>
  <c r="R92" i="31"/>
  <c r="R89" i="31"/>
  <c r="R88" i="31"/>
  <c r="R87" i="31"/>
  <c r="R83" i="31"/>
  <c r="R82" i="31"/>
  <c r="R79" i="31"/>
  <c r="R80" i="31" s="1"/>
  <c r="R76" i="31"/>
  <c r="R77" i="31" s="1"/>
  <c r="R66" i="31"/>
  <c r="R65" i="31"/>
  <c r="R64" i="31"/>
  <c r="R61" i="31"/>
  <c r="R60" i="31"/>
  <c r="R59" i="31"/>
  <c r="R55" i="31"/>
  <c r="R54" i="31"/>
  <c r="R51" i="31"/>
  <c r="R52" i="31" s="1"/>
  <c r="R48" i="31"/>
  <c r="R49" i="31" s="1"/>
  <c r="R38" i="31"/>
  <c r="R37" i="31"/>
  <c r="R36" i="31"/>
  <c r="R33" i="31"/>
  <c r="R32" i="31"/>
  <c r="R31" i="31"/>
  <c r="R27" i="31"/>
  <c r="R26" i="31"/>
  <c r="R23" i="31"/>
  <c r="R24" i="31" s="1"/>
  <c r="R20" i="31"/>
  <c r="R21" i="31" s="1"/>
  <c r="O159" i="31"/>
  <c r="O158" i="31"/>
  <c r="P157" i="31"/>
  <c r="O157" i="31"/>
  <c r="O156" i="31"/>
  <c r="P155" i="31"/>
  <c r="O155" i="31"/>
  <c r="O145" i="31"/>
  <c r="P144" i="31"/>
  <c r="O144" i="31"/>
  <c r="O143" i="31"/>
  <c r="O142" i="31"/>
  <c r="O141" i="31"/>
  <c r="P131" i="31"/>
  <c r="P130" i="31"/>
  <c r="O130" i="31"/>
  <c r="P129" i="31"/>
  <c r="O129" i="31"/>
  <c r="O128" i="31"/>
  <c r="P127" i="31"/>
  <c r="O127" i="31"/>
  <c r="O126" i="31"/>
  <c r="O115" i="31"/>
  <c r="P114" i="31"/>
  <c r="O114" i="31"/>
  <c r="O113" i="31"/>
  <c r="O112" i="31"/>
  <c r="P111" i="31"/>
  <c r="O111" i="31"/>
  <c r="P110" i="31"/>
  <c r="O110" i="31"/>
  <c r="O109" i="31"/>
  <c r="O108" i="31"/>
  <c r="O107" i="31"/>
  <c r="P106" i="31"/>
  <c r="O106" i="31"/>
  <c r="O105" i="31"/>
  <c r="O94" i="31"/>
  <c r="O93" i="31"/>
  <c r="O92" i="31"/>
  <c r="O89" i="31"/>
  <c r="O88" i="31"/>
  <c r="O87" i="31"/>
  <c r="O83" i="31"/>
  <c r="O82" i="31"/>
  <c r="O66" i="31"/>
  <c r="O64" i="31"/>
  <c r="O61" i="31"/>
  <c r="O59" i="31"/>
  <c r="O55" i="31"/>
  <c r="O54" i="31"/>
  <c r="O51" i="31"/>
  <c r="O52" i="31" s="1"/>
  <c r="O48" i="31"/>
  <c r="O49" i="31" s="1"/>
  <c r="O38" i="31"/>
  <c r="O37" i="31"/>
  <c r="O36" i="31"/>
  <c r="O32" i="31"/>
  <c r="O31" i="31"/>
  <c r="O26" i="31"/>
  <c r="O23" i="31"/>
  <c r="O24" i="31" s="1"/>
  <c r="O20" i="31"/>
  <c r="O21" i="31" s="1"/>
  <c r="F141" i="31"/>
  <c r="R122" i="35" l="1"/>
  <c r="R124" i="35" s="1"/>
  <c r="R72" i="35"/>
  <c r="R106" i="35"/>
  <c r="R92" i="35"/>
  <c r="R90" i="35"/>
  <c r="R107" i="35"/>
  <c r="O106" i="35"/>
  <c r="O107" i="35"/>
  <c r="O92" i="35"/>
  <c r="O90" i="35"/>
  <c r="O72" i="35"/>
  <c r="L106" i="35"/>
  <c r="L92" i="35"/>
  <c r="L90" i="35"/>
  <c r="L107" i="35"/>
  <c r="L122" i="35"/>
  <c r="L124" i="35" s="1"/>
  <c r="L46" i="35"/>
  <c r="L74" i="35"/>
  <c r="R114" i="32"/>
  <c r="R40" i="32"/>
  <c r="R91" i="32"/>
  <c r="O147" i="31"/>
  <c r="R68" i="32"/>
  <c r="R127" i="32"/>
  <c r="L113" i="32"/>
  <c r="R71" i="32"/>
  <c r="R35" i="32"/>
  <c r="R58" i="32"/>
  <c r="R96" i="32"/>
  <c r="R126" i="32"/>
  <c r="R128" i="32" s="1"/>
  <c r="R70" i="32"/>
  <c r="R72" i="32" s="1"/>
  <c r="R119" i="32"/>
  <c r="R124" i="32"/>
  <c r="O91" i="32"/>
  <c r="O119" i="32"/>
  <c r="L86" i="32"/>
  <c r="R177" i="32"/>
  <c r="R178" i="32" s="1"/>
  <c r="R180" i="32" s="1"/>
  <c r="S16" i="32" s="1"/>
  <c r="R85" i="32"/>
  <c r="R29" i="32"/>
  <c r="R30" i="32"/>
  <c r="R63" i="32"/>
  <c r="R86" i="32"/>
  <c r="R98" i="32"/>
  <c r="R99" i="32"/>
  <c r="R43" i="32"/>
  <c r="R57" i="32"/>
  <c r="R113" i="32"/>
  <c r="R190" i="32"/>
  <c r="R191" i="32" s="1"/>
  <c r="R193" i="32" s="1"/>
  <c r="S17" i="32" s="1"/>
  <c r="R42" i="32"/>
  <c r="L176" i="32"/>
  <c r="L126" i="32"/>
  <c r="L40" i="32"/>
  <c r="L91" i="32"/>
  <c r="L114" i="32"/>
  <c r="O71" i="32"/>
  <c r="O74" i="32" s="1"/>
  <c r="P11" i="32" s="1"/>
  <c r="O124" i="32"/>
  <c r="O43" i="32"/>
  <c r="O35" i="32"/>
  <c r="O96" i="32"/>
  <c r="O176" i="32"/>
  <c r="O68" i="32"/>
  <c r="O99" i="32"/>
  <c r="O58" i="32"/>
  <c r="O114" i="32"/>
  <c r="O127" i="32"/>
  <c r="O40" i="32"/>
  <c r="O70" i="32"/>
  <c r="O126" i="32"/>
  <c r="L35" i="32"/>
  <c r="L58" i="32"/>
  <c r="L96" i="32"/>
  <c r="L70" i="32"/>
  <c r="L68" i="32"/>
  <c r="L99" i="32"/>
  <c r="O177" i="32"/>
  <c r="O85" i="32"/>
  <c r="O29" i="32"/>
  <c r="O30" i="32"/>
  <c r="O63" i="32"/>
  <c r="O86" i="32"/>
  <c r="O42" i="32"/>
  <c r="O98" i="32"/>
  <c r="O57" i="32"/>
  <c r="O113" i="32"/>
  <c r="O190" i="32"/>
  <c r="O191" i="32" s="1"/>
  <c r="O193" i="32" s="1"/>
  <c r="P17" i="32" s="1"/>
  <c r="L71" i="32"/>
  <c r="L127" i="32"/>
  <c r="L130" i="32" s="1"/>
  <c r="M13" i="32" s="1"/>
  <c r="L177" i="32"/>
  <c r="L85" i="32"/>
  <c r="L29" i="32"/>
  <c r="L30" i="32"/>
  <c r="L63" i="32"/>
  <c r="L119" i="32"/>
  <c r="L42" i="32"/>
  <c r="L98" i="32"/>
  <c r="L43" i="32"/>
  <c r="L57" i="32"/>
  <c r="L190" i="32"/>
  <c r="L191" i="32" s="1"/>
  <c r="L193" i="32" s="1"/>
  <c r="M17" i="32" s="1"/>
  <c r="O67" i="31"/>
  <c r="R57" i="31"/>
  <c r="R85" i="31"/>
  <c r="U34" i="31"/>
  <c r="U84" i="31"/>
  <c r="R42" i="31"/>
  <c r="R67" i="31"/>
  <c r="R95" i="31"/>
  <c r="U95" i="31"/>
  <c r="O95" i="31"/>
  <c r="O84" i="31"/>
  <c r="R70" i="31"/>
  <c r="U67" i="31"/>
  <c r="O98" i="31"/>
  <c r="U147" i="31"/>
  <c r="R147" i="31"/>
  <c r="R149" i="31" s="1"/>
  <c r="R151" i="31" s="1"/>
  <c r="S15" i="31" s="1"/>
  <c r="R98" i="31"/>
  <c r="U62" i="31"/>
  <c r="U85" i="31"/>
  <c r="U39" i="31"/>
  <c r="U97" i="31"/>
  <c r="R62" i="31"/>
  <c r="R84" i="31"/>
  <c r="R97" i="31"/>
  <c r="R41" i="31"/>
  <c r="R90" i="31"/>
  <c r="R39" i="31"/>
  <c r="R56" i="31"/>
  <c r="O41" i="31"/>
  <c r="O62" i="31"/>
  <c r="O85" i="31"/>
  <c r="O39" i="31"/>
  <c r="O97" i="31"/>
  <c r="U42" i="31"/>
  <c r="U98" i="31"/>
  <c r="U101" i="31" s="1"/>
  <c r="V12" i="31" s="1"/>
  <c r="U148" i="31"/>
  <c r="U56" i="31"/>
  <c r="U41" i="31"/>
  <c r="U69" i="31"/>
  <c r="U57" i="31"/>
  <c r="U90" i="31"/>
  <c r="U70" i="31"/>
  <c r="U28" i="31"/>
  <c r="U161" i="31"/>
  <c r="U162" i="31" s="1"/>
  <c r="U164" i="31" s="1"/>
  <c r="V16" i="31" s="1"/>
  <c r="U29" i="31"/>
  <c r="R148" i="31"/>
  <c r="R34" i="31"/>
  <c r="R69" i="31"/>
  <c r="R71" i="31" s="1"/>
  <c r="R28" i="31"/>
  <c r="R161" i="31"/>
  <c r="R162" i="31" s="1"/>
  <c r="R164" i="31" s="1"/>
  <c r="S16" i="31" s="1"/>
  <c r="R29" i="31"/>
  <c r="O42" i="31"/>
  <c r="O148" i="31"/>
  <c r="O149" i="31" s="1"/>
  <c r="O151" i="31" s="1"/>
  <c r="P15" i="31" s="1"/>
  <c r="O56" i="31"/>
  <c r="O57" i="31"/>
  <c r="O90" i="31"/>
  <c r="O70" i="31"/>
  <c r="O28" i="31"/>
  <c r="O161" i="31"/>
  <c r="O162" i="31" s="1"/>
  <c r="O164" i="31" s="1"/>
  <c r="P16" i="31" s="1"/>
  <c r="O29" i="31"/>
  <c r="R108" i="35" l="1"/>
  <c r="R110" i="35" s="1"/>
  <c r="R91" i="35"/>
  <c r="R93" i="35" s="1"/>
  <c r="R95" i="35" s="1"/>
  <c r="O91" i="35"/>
  <c r="O93" i="35" s="1"/>
  <c r="O95" i="35" s="1"/>
  <c r="O108" i="35"/>
  <c r="O110" i="35" s="1"/>
  <c r="L91" i="35"/>
  <c r="L93" i="35" s="1"/>
  <c r="L95" i="35" s="1"/>
  <c r="L108" i="35"/>
  <c r="L110" i="35" s="1"/>
  <c r="S11" i="35"/>
  <c r="Q49" i="16" s="1"/>
  <c r="S15" i="35"/>
  <c r="Q55" i="16" s="1"/>
  <c r="S10" i="35"/>
  <c r="Q47" i="16" s="1"/>
  <c r="P14" i="35"/>
  <c r="P54" i="16" s="1"/>
  <c r="P15" i="35"/>
  <c r="P55" i="16" s="1"/>
  <c r="M15" i="35"/>
  <c r="O55" i="16" s="1"/>
  <c r="L178" i="32"/>
  <c r="L180" i="32" s="1"/>
  <c r="M16" i="32" s="1"/>
  <c r="M11" i="35"/>
  <c r="O49" i="16" s="1"/>
  <c r="R74" i="32"/>
  <c r="S11" i="32" s="1"/>
  <c r="R130" i="32"/>
  <c r="S13" i="32" s="1"/>
  <c r="R46" i="32"/>
  <c r="S10" i="32" s="1"/>
  <c r="O178" i="32"/>
  <c r="O180" i="32" s="1"/>
  <c r="P16" i="32" s="1"/>
  <c r="L72" i="32"/>
  <c r="R148" i="32"/>
  <c r="R163" i="32"/>
  <c r="R162" i="32"/>
  <c r="R146" i="32"/>
  <c r="R100" i="32"/>
  <c r="R44" i="32"/>
  <c r="R102" i="32"/>
  <c r="S12" i="32" s="1"/>
  <c r="L100" i="32"/>
  <c r="O128" i="32"/>
  <c r="O44" i="32"/>
  <c r="O46" i="32"/>
  <c r="P10" i="32" s="1"/>
  <c r="O72" i="32"/>
  <c r="O100" i="32"/>
  <c r="O102" i="32"/>
  <c r="P12" i="32" s="1"/>
  <c r="O130" i="32"/>
  <c r="P13" i="32" s="1"/>
  <c r="L44" i="32"/>
  <c r="L128" i="32"/>
  <c r="L46" i="32"/>
  <c r="M10" i="32" s="1"/>
  <c r="O148" i="32"/>
  <c r="O163" i="32"/>
  <c r="O162" i="32"/>
  <c r="O146" i="32"/>
  <c r="L74" i="32"/>
  <c r="M11" i="32" s="1"/>
  <c r="L102" i="32"/>
  <c r="M12" i="32" s="1"/>
  <c r="L148" i="32"/>
  <c r="L163" i="32"/>
  <c r="L162" i="32"/>
  <c r="L146" i="32"/>
  <c r="P11" i="35"/>
  <c r="P49" i="16" s="1"/>
  <c r="P10" i="35"/>
  <c r="P47" i="16" s="1"/>
  <c r="M10" i="35"/>
  <c r="O47" i="16" s="1"/>
  <c r="O45" i="31"/>
  <c r="P10" i="31" s="1"/>
  <c r="U45" i="31"/>
  <c r="V10" i="31" s="1"/>
  <c r="O99" i="31"/>
  <c r="R43" i="31"/>
  <c r="U149" i="31"/>
  <c r="U151" i="31" s="1"/>
  <c r="V15" i="31" s="1"/>
  <c r="R45" i="31"/>
  <c r="S10" i="31" s="1"/>
  <c r="R99" i="31"/>
  <c r="R73" i="31"/>
  <c r="S11" i="31" s="1"/>
  <c r="R101" i="31"/>
  <c r="S12" i="31" s="1"/>
  <c r="O101" i="31"/>
  <c r="P12" i="31" s="1"/>
  <c r="U119" i="31"/>
  <c r="U134" i="31"/>
  <c r="U133" i="31"/>
  <c r="U117" i="31"/>
  <c r="U71" i="31"/>
  <c r="U99" i="31"/>
  <c r="U43" i="31"/>
  <c r="U73" i="31"/>
  <c r="V11" i="31" s="1"/>
  <c r="R119" i="31"/>
  <c r="R134" i="31"/>
  <c r="R117" i="31"/>
  <c r="R133" i="31"/>
  <c r="O73" i="31"/>
  <c r="P11" i="31" s="1"/>
  <c r="O43" i="31"/>
  <c r="O119" i="31"/>
  <c r="O134" i="31"/>
  <c r="O133" i="31"/>
  <c r="O117" i="31"/>
  <c r="S14" i="35" l="1"/>
  <c r="Q54" i="16" s="1"/>
  <c r="M14" i="35"/>
  <c r="O54" i="16" s="1"/>
  <c r="R147" i="32"/>
  <c r="R149" i="32" s="1"/>
  <c r="R151" i="32" s="1"/>
  <c r="S14" i="32" s="1"/>
  <c r="S18" i="32" s="1"/>
  <c r="R164" i="32"/>
  <c r="R166" i="32" s="1"/>
  <c r="S15" i="32" s="1"/>
  <c r="O147" i="32"/>
  <c r="O149" i="32" s="1"/>
  <c r="O151" i="32" s="1"/>
  <c r="P14" i="32" s="1"/>
  <c r="P18" i="32" s="1"/>
  <c r="O164" i="32"/>
  <c r="O166" i="32" s="1"/>
  <c r="P15" i="32" s="1"/>
  <c r="L164" i="32"/>
  <c r="L166" i="32" s="1"/>
  <c r="M15" i="32" s="1"/>
  <c r="L147" i="32"/>
  <c r="L149" i="32" s="1"/>
  <c r="L151" i="32" s="1"/>
  <c r="M14" i="32" s="1"/>
  <c r="M18" i="32" s="1"/>
  <c r="U118" i="31"/>
  <c r="U120" i="31" s="1"/>
  <c r="U122" i="31" s="1"/>
  <c r="V13" i="31" s="1"/>
  <c r="V17" i="31" s="1"/>
  <c r="U135" i="31"/>
  <c r="U137" i="31" s="1"/>
  <c r="V14" i="31" s="1"/>
  <c r="R135" i="31"/>
  <c r="R137" i="31" s="1"/>
  <c r="S14" i="31" s="1"/>
  <c r="R118" i="31"/>
  <c r="R120" i="31" s="1"/>
  <c r="R122" i="31" s="1"/>
  <c r="S13" i="31" s="1"/>
  <c r="S17" i="31" s="1"/>
  <c r="O135" i="31"/>
  <c r="O137" i="31" s="1"/>
  <c r="P14" i="31" s="1"/>
  <c r="O118" i="31"/>
  <c r="O120" i="31" s="1"/>
  <c r="O122" i="31" s="1"/>
  <c r="P13" i="31" s="1"/>
  <c r="S13" i="35" l="1"/>
  <c r="Q53" i="16" s="1"/>
  <c r="S12" i="35"/>
  <c r="P13" i="35"/>
  <c r="P53" i="16" s="1"/>
  <c r="P12" i="35"/>
  <c r="M13" i="35"/>
  <c r="O53" i="16" s="1"/>
  <c r="M12" i="35"/>
  <c r="O52" i="16" s="1"/>
  <c r="P17" i="31"/>
  <c r="L27" i="31"/>
  <c r="L33" i="31"/>
  <c r="L31" i="31"/>
  <c r="L23" i="31"/>
  <c r="L24" i="31" s="1"/>
  <c r="L20" i="31"/>
  <c r="L21" i="31" s="1"/>
  <c r="M159" i="31"/>
  <c r="L159" i="31"/>
  <c r="M158" i="31"/>
  <c r="L158" i="31"/>
  <c r="M157" i="31"/>
  <c r="L157" i="31"/>
  <c r="M156" i="31"/>
  <c r="L156" i="31"/>
  <c r="M155" i="31"/>
  <c r="L155" i="31"/>
  <c r="M145" i="31"/>
  <c r="L145" i="31"/>
  <c r="M144" i="31"/>
  <c r="L144" i="31"/>
  <c r="M143" i="31"/>
  <c r="L143" i="31"/>
  <c r="M142" i="31"/>
  <c r="L142" i="31"/>
  <c r="M141" i="31"/>
  <c r="L141" i="31"/>
  <c r="M131" i="31"/>
  <c r="M130" i="31"/>
  <c r="L130" i="31"/>
  <c r="M129" i="31"/>
  <c r="L129" i="31"/>
  <c r="M128" i="31"/>
  <c r="L128" i="31"/>
  <c r="M127" i="31"/>
  <c r="L127" i="31"/>
  <c r="M126" i="31"/>
  <c r="L126" i="31"/>
  <c r="M115" i="31"/>
  <c r="L115" i="31"/>
  <c r="M114" i="31"/>
  <c r="L114" i="31"/>
  <c r="L113" i="31"/>
  <c r="L112" i="31"/>
  <c r="M111" i="31"/>
  <c r="L111" i="31"/>
  <c r="M110" i="31"/>
  <c r="L110" i="31"/>
  <c r="M109" i="31"/>
  <c r="L109" i="31"/>
  <c r="M108" i="31"/>
  <c r="L108" i="31"/>
  <c r="M107" i="31"/>
  <c r="L107" i="31"/>
  <c r="M106" i="31"/>
  <c r="L106" i="31"/>
  <c r="M105" i="31"/>
  <c r="L105" i="31"/>
  <c r="L94" i="31"/>
  <c r="L93" i="31"/>
  <c r="L92" i="31"/>
  <c r="L89" i="31"/>
  <c r="L88" i="31"/>
  <c r="L87" i="31"/>
  <c r="L83" i="31"/>
  <c r="L82" i="31"/>
  <c r="L79" i="31"/>
  <c r="L80" i="31" s="1"/>
  <c r="L76" i="31"/>
  <c r="L77" i="31" s="1"/>
  <c r="L66" i="31"/>
  <c r="L65" i="31"/>
  <c r="L64" i="31"/>
  <c r="L61" i="31"/>
  <c r="L60" i="31"/>
  <c r="L59" i="31"/>
  <c r="L55" i="31"/>
  <c r="L54" i="31"/>
  <c r="L51" i="31"/>
  <c r="L52" i="31" s="1"/>
  <c r="L48" i="31"/>
  <c r="L49" i="31" s="1"/>
  <c r="L38" i="31"/>
  <c r="L37" i="31"/>
  <c r="L36" i="31"/>
  <c r="L32" i="31"/>
  <c r="L26" i="31"/>
  <c r="S16" i="35" l="1"/>
  <c r="Q56" i="16" s="1"/>
  <c r="Q52" i="16"/>
  <c r="P16" i="35"/>
  <c r="P56" i="16" s="1"/>
  <c r="P52" i="16"/>
  <c r="M16" i="35"/>
  <c r="O56" i="16" s="1"/>
  <c r="L95" i="31"/>
  <c r="L85" i="31"/>
  <c r="L62" i="31"/>
  <c r="L97" i="31"/>
  <c r="L67" i="31"/>
  <c r="L147" i="31"/>
  <c r="L39" i="31"/>
  <c r="L84" i="31"/>
  <c r="L90" i="31"/>
  <c r="L41" i="31"/>
  <c r="L98" i="31"/>
  <c r="L148" i="31"/>
  <c r="L42" i="31"/>
  <c r="L56" i="31"/>
  <c r="L34" i="31"/>
  <c r="L57" i="31"/>
  <c r="L28" i="31"/>
  <c r="L161" i="31"/>
  <c r="L162" i="31" s="1"/>
  <c r="L164" i="31" s="1"/>
  <c r="M16" i="31" s="1"/>
  <c r="D55" i="16" s="1"/>
  <c r="L69" i="31"/>
  <c r="L70" i="31"/>
  <c r="L29" i="31"/>
  <c r="I123" i="32"/>
  <c r="I122" i="32"/>
  <c r="I121" i="32"/>
  <c r="I117" i="32"/>
  <c r="I116" i="32"/>
  <c r="I112" i="32"/>
  <c r="I111" i="32"/>
  <c r="I108" i="32"/>
  <c r="I109" i="32" s="1"/>
  <c r="I95" i="32"/>
  <c r="I94" i="32"/>
  <c r="I93" i="32"/>
  <c r="I90" i="32"/>
  <c r="I88" i="32"/>
  <c r="I83" i="32"/>
  <c r="I80" i="32"/>
  <c r="I81" i="32" s="1"/>
  <c r="I77" i="32"/>
  <c r="I78" i="32" s="1"/>
  <c r="I67" i="32"/>
  <c r="I66" i="32"/>
  <c r="I65" i="32"/>
  <c r="I61" i="32"/>
  <c r="I60" i="32"/>
  <c r="I56" i="32"/>
  <c r="I55" i="32"/>
  <c r="I52" i="32"/>
  <c r="I53" i="32" s="1"/>
  <c r="I39" i="32"/>
  <c r="I38" i="32"/>
  <c r="I37" i="32"/>
  <c r="I34" i="32"/>
  <c r="I33" i="32"/>
  <c r="I32" i="32"/>
  <c r="I28" i="32"/>
  <c r="I27" i="32"/>
  <c r="I24" i="32"/>
  <c r="I25" i="32" s="1"/>
  <c r="J188" i="32"/>
  <c r="I188" i="32"/>
  <c r="J187" i="32"/>
  <c r="I187" i="32"/>
  <c r="J186" i="32"/>
  <c r="I186" i="32"/>
  <c r="J185" i="32"/>
  <c r="I185" i="32"/>
  <c r="J184" i="32"/>
  <c r="I184" i="32"/>
  <c r="J174" i="32"/>
  <c r="I174" i="32"/>
  <c r="J173" i="32"/>
  <c r="I173" i="32"/>
  <c r="J172" i="32"/>
  <c r="I172" i="32"/>
  <c r="J171" i="32"/>
  <c r="I171" i="32"/>
  <c r="J170" i="32"/>
  <c r="I170" i="32"/>
  <c r="J160" i="32"/>
  <c r="J159" i="32"/>
  <c r="I159" i="32"/>
  <c r="J158" i="32"/>
  <c r="I158" i="32"/>
  <c r="J157" i="32"/>
  <c r="I157" i="32"/>
  <c r="J156" i="32"/>
  <c r="I156" i="32"/>
  <c r="J155" i="32"/>
  <c r="I155" i="32"/>
  <c r="J144" i="32"/>
  <c r="I144" i="32"/>
  <c r="J143" i="32"/>
  <c r="I143" i="32"/>
  <c r="I142" i="32"/>
  <c r="J141" i="32"/>
  <c r="I141" i="32"/>
  <c r="J140" i="32"/>
  <c r="I140" i="32"/>
  <c r="J139" i="32"/>
  <c r="I139" i="32"/>
  <c r="J138" i="32"/>
  <c r="I138" i="32"/>
  <c r="J137" i="32"/>
  <c r="I137" i="32"/>
  <c r="J136" i="32"/>
  <c r="I136" i="32"/>
  <c r="J135" i="32"/>
  <c r="I135" i="32"/>
  <c r="J134" i="32"/>
  <c r="I134" i="32"/>
  <c r="I118" i="32"/>
  <c r="I105" i="32"/>
  <c r="I106" i="32" s="1"/>
  <c r="I89" i="32"/>
  <c r="I84" i="32"/>
  <c r="I62" i="32"/>
  <c r="I49" i="32"/>
  <c r="I50" i="32" s="1"/>
  <c r="I21" i="32"/>
  <c r="I22" i="32" s="1"/>
  <c r="F116" i="32"/>
  <c r="F112" i="32"/>
  <c r="F111" i="32"/>
  <c r="F108" i="32"/>
  <c r="F105" i="32"/>
  <c r="F95" i="32"/>
  <c r="F94" i="32"/>
  <c r="F93" i="32"/>
  <c r="F90" i="32"/>
  <c r="F89" i="32"/>
  <c r="F88" i="32"/>
  <c r="F84" i="32"/>
  <c r="F83" i="32"/>
  <c r="F80" i="32"/>
  <c r="F77" i="32"/>
  <c r="F78" i="32" s="1"/>
  <c r="L99" i="31" l="1"/>
  <c r="I98" i="32"/>
  <c r="L43" i="31"/>
  <c r="L149" i="31"/>
  <c r="L151" i="31" s="1"/>
  <c r="M15" i="31" s="1"/>
  <c r="D54" i="16" s="1"/>
  <c r="L71" i="31"/>
  <c r="L45" i="31"/>
  <c r="M10" i="31" s="1"/>
  <c r="D47" i="16" s="1"/>
  <c r="L73" i="31"/>
  <c r="M11" i="31" s="1"/>
  <c r="D50" i="16" s="1"/>
  <c r="L101" i="31"/>
  <c r="M12" i="31" s="1"/>
  <c r="D51" i="16" s="1"/>
  <c r="L119" i="31"/>
  <c r="L134" i="31"/>
  <c r="L133" i="31"/>
  <c r="L117" i="31"/>
  <c r="I124" i="32"/>
  <c r="I127" i="32"/>
  <c r="I126" i="32"/>
  <c r="I114" i="32"/>
  <c r="I96" i="32"/>
  <c r="I91" i="32"/>
  <c r="I99" i="32"/>
  <c r="I68" i="32"/>
  <c r="I71" i="32"/>
  <c r="I58" i="32"/>
  <c r="I70" i="32"/>
  <c r="I176" i="32"/>
  <c r="I40" i="32"/>
  <c r="I35" i="32"/>
  <c r="I177" i="32"/>
  <c r="I85" i="32"/>
  <c r="I29" i="32"/>
  <c r="I30" i="32"/>
  <c r="I63" i="32"/>
  <c r="I86" i="32"/>
  <c r="I119" i="32"/>
  <c r="I42" i="32"/>
  <c r="I57" i="32"/>
  <c r="I113" i="32"/>
  <c r="I190" i="32"/>
  <c r="I191" i="32" s="1"/>
  <c r="I193" i="32" s="1"/>
  <c r="J17" i="32" s="1"/>
  <c r="I55" i="16" s="1"/>
  <c r="I43" i="32"/>
  <c r="F38" i="35"/>
  <c r="I130" i="32" l="1"/>
  <c r="J13" i="32" s="1"/>
  <c r="I50" i="16" s="1"/>
  <c r="I146" i="32"/>
  <c r="I148" i="32"/>
  <c r="L135" i="31"/>
  <c r="L137" i="31" s="1"/>
  <c r="M14" i="31" s="1"/>
  <c r="D53" i="16" s="1"/>
  <c r="L118" i="31"/>
  <c r="L120" i="31" s="1"/>
  <c r="I128" i="32"/>
  <c r="I178" i="32"/>
  <c r="I180" i="32" s="1"/>
  <c r="J16" i="32" s="1"/>
  <c r="I54" i="16" s="1"/>
  <c r="I100" i="32"/>
  <c r="I74" i="32"/>
  <c r="J11" i="32" s="1"/>
  <c r="I48" i="16" s="1"/>
  <c r="I72" i="32"/>
  <c r="I44" i="32"/>
  <c r="I163" i="32"/>
  <c r="I162" i="32"/>
  <c r="I46" i="32"/>
  <c r="J10" i="32" s="1"/>
  <c r="I47" i="16" s="1"/>
  <c r="I102" i="32"/>
  <c r="J12" i="32" s="1"/>
  <c r="I49" i="16" s="1"/>
  <c r="I25" i="35"/>
  <c r="J132" i="35"/>
  <c r="I132" i="35"/>
  <c r="J131" i="35"/>
  <c r="I131" i="35"/>
  <c r="J130" i="35"/>
  <c r="I130" i="35"/>
  <c r="J129" i="35"/>
  <c r="I129" i="35"/>
  <c r="I128" i="35"/>
  <c r="J118" i="35"/>
  <c r="I118" i="35"/>
  <c r="J117" i="35"/>
  <c r="I117" i="35"/>
  <c r="J116" i="35"/>
  <c r="I116" i="35"/>
  <c r="J115" i="35"/>
  <c r="I115" i="35"/>
  <c r="I114" i="35"/>
  <c r="J104" i="35"/>
  <c r="J103" i="35"/>
  <c r="I103" i="35"/>
  <c r="J102" i="35"/>
  <c r="I102" i="35"/>
  <c r="J101" i="35"/>
  <c r="I101" i="35"/>
  <c r="J100" i="35"/>
  <c r="I100" i="35"/>
  <c r="I99" i="35"/>
  <c r="J88" i="35"/>
  <c r="I88" i="35"/>
  <c r="J87" i="35"/>
  <c r="I87" i="35"/>
  <c r="I86" i="35"/>
  <c r="J85" i="35"/>
  <c r="I85" i="35"/>
  <c r="J84" i="35"/>
  <c r="I84" i="35"/>
  <c r="I83" i="35"/>
  <c r="J82" i="35"/>
  <c r="I82" i="35"/>
  <c r="J81" i="35"/>
  <c r="I81" i="35"/>
  <c r="I80" i="35"/>
  <c r="I79" i="35"/>
  <c r="I78" i="35"/>
  <c r="I49" i="35"/>
  <c r="I50" i="35" s="1"/>
  <c r="I21" i="35"/>
  <c r="F21" i="35"/>
  <c r="F22" i="35" s="1"/>
  <c r="I42" i="35" l="1"/>
  <c r="I147" i="32"/>
  <c r="I149" i="32" s="1"/>
  <c r="I164" i="32"/>
  <c r="I166" i="32" s="1"/>
  <c r="J15" i="32" s="1"/>
  <c r="I53" i="16" s="1"/>
  <c r="I58" i="35"/>
  <c r="I43" i="35"/>
  <c r="I68" i="35"/>
  <c r="I70" i="35"/>
  <c r="I40" i="35"/>
  <c r="I71" i="35"/>
  <c r="I30" i="35"/>
  <c r="I63" i="35"/>
  <c r="I135" i="35"/>
  <c r="F67" i="35"/>
  <c r="F66" i="35"/>
  <c r="F65" i="35"/>
  <c r="F62" i="35"/>
  <c r="F61" i="35"/>
  <c r="F60" i="35"/>
  <c r="F56" i="35"/>
  <c r="F55" i="35"/>
  <c r="F52" i="35"/>
  <c r="F53" i="35" s="1"/>
  <c r="F50" i="35"/>
  <c r="F39" i="35"/>
  <c r="F37" i="35"/>
  <c r="F34" i="35"/>
  <c r="F33" i="35"/>
  <c r="F32" i="35"/>
  <c r="F28" i="35"/>
  <c r="F27" i="35"/>
  <c r="F24" i="35"/>
  <c r="F25" i="35" s="1"/>
  <c r="G132" i="35"/>
  <c r="F132" i="35"/>
  <c r="G131" i="35"/>
  <c r="F131" i="35"/>
  <c r="G130" i="35"/>
  <c r="F130" i="35"/>
  <c r="G129" i="35"/>
  <c r="F129" i="35"/>
  <c r="G128" i="35"/>
  <c r="F128" i="35"/>
  <c r="G118" i="35"/>
  <c r="F118" i="35"/>
  <c r="G117" i="35"/>
  <c r="F117" i="35"/>
  <c r="G116" i="35"/>
  <c r="F116" i="35"/>
  <c r="G115" i="35"/>
  <c r="F115" i="35"/>
  <c r="G114" i="35"/>
  <c r="F114" i="35"/>
  <c r="G104" i="35"/>
  <c r="G103" i="35"/>
  <c r="F103" i="35"/>
  <c r="G102" i="35"/>
  <c r="F102" i="35"/>
  <c r="G101" i="35"/>
  <c r="F101" i="35"/>
  <c r="G100" i="35"/>
  <c r="F100" i="35"/>
  <c r="G99" i="35"/>
  <c r="F99" i="35"/>
  <c r="G88" i="35"/>
  <c r="F88" i="35"/>
  <c r="G87" i="35"/>
  <c r="F87" i="35"/>
  <c r="F86" i="35"/>
  <c r="G85" i="35"/>
  <c r="F85" i="35"/>
  <c r="G84" i="35"/>
  <c r="F84" i="35"/>
  <c r="G83" i="35"/>
  <c r="F83" i="35"/>
  <c r="G82" i="35"/>
  <c r="F82" i="35"/>
  <c r="G81" i="35"/>
  <c r="F81" i="35"/>
  <c r="G80" i="35"/>
  <c r="F80" i="35"/>
  <c r="G79" i="35"/>
  <c r="F79" i="35"/>
  <c r="G78" i="35"/>
  <c r="F78" i="35"/>
  <c r="F39" i="32"/>
  <c r="F38" i="32"/>
  <c r="F37" i="32"/>
  <c r="F123" i="32"/>
  <c r="F122" i="32"/>
  <c r="F121" i="32"/>
  <c r="F118" i="32"/>
  <c r="F117" i="32"/>
  <c r="F109" i="32"/>
  <c r="F106" i="32"/>
  <c r="F67" i="32"/>
  <c r="F66" i="32"/>
  <c r="F65" i="32"/>
  <c r="F62" i="32"/>
  <c r="F61" i="32"/>
  <c r="F60" i="32"/>
  <c r="F34" i="32"/>
  <c r="F33" i="32"/>
  <c r="F32" i="32"/>
  <c r="F38" i="31"/>
  <c r="F37" i="31"/>
  <c r="I92" i="31"/>
  <c r="I64" i="31"/>
  <c r="I36" i="31"/>
  <c r="F92" i="31"/>
  <c r="F64" i="31"/>
  <c r="F36" i="31"/>
  <c r="I74" i="35" l="1"/>
  <c r="J11" i="35" s="1"/>
  <c r="N49" i="16" s="1"/>
  <c r="I46" i="35"/>
  <c r="J10" i="35" s="1"/>
  <c r="I137" i="35"/>
  <c r="J15" i="35" s="1"/>
  <c r="N55" i="16" s="1"/>
  <c r="I122" i="35"/>
  <c r="I44" i="35"/>
  <c r="I72" i="35"/>
  <c r="F134" i="35"/>
  <c r="F135" i="35" s="1"/>
  <c r="F121" i="35"/>
  <c r="F120" i="35"/>
  <c r="F35" i="35"/>
  <c r="F58" i="35"/>
  <c r="F68" i="35"/>
  <c r="F70" i="35"/>
  <c r="F40" i="35"/>
  <c r="F29" i="35"/>
  <c r="F71" i="35"/>
  <c r="F30" i="35"/>
  <c r="F63" i="35"/>
  <c r="F43" i="35"/>
  <c r="F42" i="35"/>
  <c r="F57" i="35"/>
  <c r="F124" i="32"/>
  <c r="F127" i="32"/>
  <c r="F114" i="32"/>
  <c r="F119" i="32"/>
  <c r="F113" i="32"/>
  <c r="F126" i="32"/>
  <c r="F31" i="31"/>
  <c r="F27" i="31"/>
  <c r="F56" i="32"/>
  <c r="F55" i="32"/>
  <c r="F52" i="32"/>
  <c r="F49" i="32"/>
  <c r="F50" i="32" s="1"/>
  <c r="F28" i="32"/>
  <c r="F27" i="32"/>
  <c r="F21" i="32"/>
  <c r="F22" i="32" s="1"/>
  <c r="N47" i="16" l="1"/>
  <c r="I124" i="35"/>
  <c r="J14" i="35" s="1"/>
  <c r="N54" i="16" s="1"/>
  <c r="F177" i="32"/>
  <c r="F176" i="32"/>
  <c r="F190" i="32"/>
  <c r="I93" i="35"/>
  <c r="I95" i="35" s="1"/>
  <c r="I108" i="35"/>
  <c r="F130" i="32"/>
  <c r="G13" i="32" s="1"/>
  <c r="H50" i="16" s="1"/>
  <c r="G11" i="35"/>
  <c r="G10" i="35"/>
  <c r="M47" i="16" s="1"/>
  <c r="F107" i="35"/>
  <c r="F106" i="35"/>
  <c r="F92" i="35"/>
  <c r="F90" i="35"/>
  <c r="G15" i="35"/>
  <c r="M55" i="16" s="1"/>
  <c r="F72" i="35"/>
  <c r="F122" i="35"/>
  <c r="F44" i="35"/>
  <c r="F128" i="32"/>
  <c r="I110" i="35" l="1"/>
  <c r="J13" i="35" s="1"/>
  <c r="N53" i="16" s="1"/>
  <c r="G14" i="35"/>
  <c r="M54" i="16" s="1"/>
  <c r="F108" i="35"/>
  <c r="F91" i="35"/>
  <c r="F93" i="35" s="1"/>
  <c r="G13" i="35" l="1"/>
  <c r="M53" i="16" s="1"/>
  <c r="F81" i="32" l="1"/>
  <c r="F85" i="32" l="1"/>
  <c r="F96" i="32"/>
  <c r="F99" i="32"/>
  <c r="F91" i="32"/>
  <c r="F98" i="32"/>
  <c r="F102" i="32" s="1"/>
  <c r="F86" i="32"/>
  <c r="G12" i="32" l="1"/>
  <c r="H49" i="16" s="1"/>
  <c r="F100" i="32"/>
  <c r="J159" i="31"/>
  <c r="I159" i="31"/>
  <c r="J158" i="31"/>
  <c r="I158" i="31"/>
  <c r="J157" i="31"/>
  <c r="I157" i="31"/>
  <c r="J156" i="31"/>
  <c r="I156" i="31"/>
  <c r="J155" i="31"/>
  <c r="I155" i="31"/>
  <c r="J145" i="31"/>
  <c r="I145" i="31"/>
  <c r="J144" i="31"/>
  <c r="I144" i="31"/>
  <c r="J143" i="31"/>
  <c r="I143" i="31"/>
  <c r="J142" i="31"/>
  <c r="I142" i="31"/>
  <c r="J141" i="31"/>
  <c r="I141" i="31"/>
  <c r="J131" i="31"/>
  <c r="J130" i="31"/>
  <c r="I130" i="31"/>
  <c r="J129" i="31"/>
  <c r="I129" i="31"/>
  <c r="J128" i="31"/>
  <c r="I128" i="31"/>
  <c r="J127" i="31"/>
  <c r="I127" i="31"/>
  <c r="J126" i="31"/>
  <c r="I126" i="31"/>
  <c r="J115" i="31"/>
  <c r="I115" i="31"/>
  <c r="J114" i="31"/>
  <c r="I114" i="31"/>
  <c r="I113" i="31"/>
  <c r="J112" i="31"/>
  <c r="I112" i="31"/>
  <c r="J111" i="31"/>
  <c r="I111" i="31"/>
  <c r="J110" i="31"/>
  <c r="I110" i="31"/>
  <c r="J109" i="31"/>
  <c r="I109" i="31"/>
  <c r="J108" i="31"/>
  <c r="I108" i="31"/>
  <c r="J107" i="31"/>
  <c r="I107" i="31"/>
  <c r="J106" i="31"/>
  <c r="I106" i="31"/>
  <c r="J105" i="31"/>
  <c r="I105" i="31"/>
  <c r="I94" i="31"/>
  <c r="I93" i="31"/>
  <c r="I89" i="31"/>
  <c r="I88" i="31"/>
  <c r="I87" i="31"/>
  <c r="I83" i="31"/>
  <c r="I82" i="31"/>
  <c r="I79" i="31"/>
  <c r="I80" i="31" s="1"/>
  <c r="I76" i="31"/>
  <c r="I77" i="31" s="1"/>
  <c r="I66" i="31"/>
  <c r="I65" i="31"/>
  <c r="I61" i="31"/>
  <c r="I60" i="31"/>
  <c r="I59" i="31"/>
  <c r="I55" i="31"/>
  <c r="I54" i="31"/>
  <c r="I51" i="31"/>
  <c r="I52" i="31" s="1"/>
  <c r="I48" i="31"/>
  <c r="I49" i="31" s="1"/>
  <c r="I38" i="31"/>
  <c r="I37" i="31"/>
  <c r="I33" i="31"/>
  <c r="I32" i="31"/>
  <c r="I31" i="31"/>
  <c r="I26" i="31"/>
  <c r="I23" i="31"/>
  <c r="I20" i="31"/>
  <c r="I21" i="31" s="1"/>
  <c r="G105" i="31"/>
  <c r="F23" i="31"/>
  <c r="F20" i="31"/>
  <c r="F21" i="31" s="1"/>
  <c r="I85" i="31" l="1"/>
  <c r="I147" i="31"/>
  <c r="I97" i="31"/>
  <c r="I41" i="31"/>
  <c r="I98" i="31"/>
  <c r="I62" i="31"/>
  <c r="I39" i="31"/>
  <c r="I67" i="31"/>
  <c r="I95" i="31"/>
  <c r="I148" i="31"/>
  <c r="I42" i="31"/>
  <c r="I56" i="31"/>
  <c r="I24" i="31"/>
  <c r="I34" i="31"/>
  <c r="I57" i="31"/>
  <c r="I90" i="31"/>
  <c r="I69" i="31"/>
  <c r="I70" i="31"/>
  <c r="I84" i="31"/>
  <c r="I161" i="31"/>
  <c r="I162" i="31" s="1"/>
  <c r="I164" i="31" s="1"/>
  <c r="J16" i="31" s="1"/>
  <c r="C55" i="16" s="1"/>
  <c r="I28" i="31"/>
  <c r="I29" i="31"/>
  <c r="F94" i="31"/>
  <c r="F93" i="31"/>
  <c r="I149" i="31" l="1"/>
  <c r="I151" i="31" s="1"/>
  <c r="J15" i="31" s="1"/>
  <c r="C54" i="16" s="1"/>
  <c r="I99" i="31"/>
  <c r="I45" i="31"/>
  <c r="J10" i="31" s="1"/>
  <c r="C47" i="16" s="1"/>
  <c r="I101" i="31"/>
  <c r="J12" i="31" s="1"/>
  <c r="C51" i="16" s="1"/>
  <c r="I43" i="31"/>
  <c r="I71" i="31"/>
  <c r="I73" i="31"/>
  <c r="J11" i="31" s="1"/>
  <c r="C50" i="16" s="1"/>
  <c r="I119" i="31"/>
  <c r="I134" i="31"/>
  <c r="I133" i="31"/>
  <c r="I117" i="31"/>
  <c r="I135" i="31" l="1"/>
  <c r="I137" i="31" s="1"/>
  <c r="J14" i="31" s="1"/>
  <c r="C53" i="16" s="1"/>
  <c r="I118" i="31"/>
  <c r="I120" i="31" s="1"/>
  <c r="F66" i="31" l="1"/>
  <c r="F65" i="31"/>
  <c r="F61" i="31"/>
  <c r="F60" i="31"/>
  <c r="F59" i="31"/>
  <c r="F55" i="31"/>
  <c r="F54" i="31"/>
  <c r="F51" i="31"/>
  <c r="F52" i="31" s="1"/>
  <c r="F48" i="31"/>
  <c r="F49" i="31" s="1"/>
  <c r="F76" i="31"/>
  <c r="F62" i="31" l="1"/>
  <c r="F67" i="31"/>
  <c r="F56" i="31"/>
  <c r="F57" i="31"/>
  <c r="F70" i="31"/>
  <c r="F69" i="31"/>
  <c r="F71" i="31" l="1"/>
  <c r="F73" i="31"/>
  <c r="G11" i="31" s="1"/>
  <c r="B50" i="16" s="1"/>
  <c r="F53" i="32" l="1"/>
  <c r="G188" i="32"/>
  <c r="F188" i="32"/>
  <c r="G187" i="32"/>
  <c r="F187" i="32"/>
  <c r="G186" i="32"/>
  <c r="F186" i="32"/>
  <c r="G185" i="32"/>
  <c r="F185" i="32"/>
  <c r="G184" i="32"/>
  <c r="F184" i="32"/>
  <c r="G174" i="32"/>
  <c r="F174" i="32"/>
  <c r="G173" i="32"/>
  <c r="F173" i="32"/>
  <c r="G172" i="32"/>
  <c r="F172" i="32"/>
  <c r="G171" i="32"/>
  <c r="F171" i="32"/>
  <c r="G170" i="32"/>
  <c r="F170" i="32"/>
  <c r="G160" i="32"/>
  <c r="G159" i="32"/>
  <c r="F159" i="32"/>
  <c r="G158" i="32"/>
  <c r="F158" i="32"/>
  <c r="G157" i="32"/>
  <c r="F157" i="32"/>
  <c r="G156" i="32"/>
  <c r="F156" i="32"/>
  <c r="G155" i="32"/>
  <c r="F155" i="32"/>
  <c r="G144" i="32"/>
  <c r="F144" i="32"/>
  <c r="G143" i="32"/>
  <c r="F143" i="32"/>
  <c r="F142" i="32"/>
  <c r="G141" i="32"/>
  <c r="F141" i="32"/>
  <c r="G140" i="32"/>
  <c r="F140" i="32"/>
  <c r="G139" i="32"/>
  <c r="F139" i="32"/>
  <c r="G138" i="32"/>
  <c r="F138" i="32"/>
  <c r="G137" i="32"/>
  <c r="F137" i="32"/>
  <c r="G136" i="32"/>
  <c r="F136" i="32"/>
  <c r="G135" i="32"/>
  <c r="F135" i="32"/>
  <c r="G134" i="32"/>
  <c r="F134" i="32"/>
  <c r="F25" i="32"/>
  <c r="G127" i="31"/>
  <c r="G131" i="31"/>
  <c r="F89" i="31"/>
  <c r="F88" i="31"/>
  <c r="F87" i="31"/>
  <c r="F83" i="31"/>
  <c r="F82" i="31"/>
  <c r="F79" i="31"/>
  <c r="F77" i="31"/>
  <c r="F33" i="31"/>
  <c r="F32" i="31"/>
  <c r="F26" i="31"/>
  <c r="G159" i="31"/>
  <c r="F159" i="31"/>
  <c r="G158" i="31"/>
  <c r="F158" i="31"/>
  <c r="G157" i="31"/>
  <c r="F157" i="31"/>
  <c r="G156" i="31"/>
  <c r="F156" i="31"/>
  <c r="G155" i="31"/>
  <c r="F155" i="31"/>
  <c r="G145" i="31"/>
  <c r="F145" i="31"/>
  <c r="G144" i="31"/>
  <c r="F144" i="31"/>
  <c r="G143" i="31"/>
  <c r="F143" i="31"/>
  <c r="G142" i="31"/>
  <c r="F142" i="31"/>
  <c r="G141" i="31"/>
  <c r="G130" i="31"/>
  <c r="F130" i="31"/>
  <c r="G129" i="31"/>
  <c r="F129" i="31"/>
  <c r="G128" i="31"/>
  <c r="F128" i="31"/>
  <c r="F127" i="31"/>
  <c r="G126" i="31"/>
  <c r="F126" i="31"/>
  <c r="G115" i="31"/>
  <c r="F115" i="31"/>
  <c r="G114" i="31"/>
  <c r="F114" i="31"/>
  <c r="F113" i="31"/>
  <c r="G112" i="31"/>
  <c r="F112" i="31"/>
  <c r="G111" i="31"/>
  <c r="F111" i="31"/>
  <c r="G110" i="31"/>
  <c r="F110" i="31"/>
  <c r="G109" i="31"/>
  <c r="F109" i="31"/>
  <c r="G108" i="31"/>
  <c r="F108" i="31"/>
  <c r="G107" i="31"/>
  <c r="F107" i="31"/>
  <c r="G106" i="31"/>
  <c r="F106" i="31"/>
  <c r="F105" i="31"/>
  <c r="F161" i="31" l="1"/>
  <c r="F162" i="31" s="1"/>
  <c r="F164" i="31" s="1"/>
  <c r="G16" i="31" s="1"/>
  <c r="B55" i="16" s="1"/>
  <c r="F148" i="31"/>
  <c r="F147" i="31"/>
  <c r="F41" i="31"/>
  <c r="F63" i="32"/>
  <c r="F68" i="32"/>
  <c r="F57" i="32"/>
  <c r="F58" i="32"/>
  <c r="F70" i="32"/>
  <c r="F71" i="32"/>
  <c r="F40" i="32"/>
  <c r="F35" i="32"/>
  <c r="F29" i="32"/>
  <c r="F30" i="32"/>
  <c r="F42" i="32"/>
  <c r="F43" i="32"/>
  <c r="F191" i="32"/>
  <c r="F39" i="31"/>
  <c r="F42" i="31"/>
  <c r="F85" i="31"/>
  <c r="F29" i="31"/>
  <c r="F28" i="31"/>
  <c r="F34" i="31"/>
  <c r="F24" i="31"/>
  <c r="F80" i="31"/>
  <c r="F162" i="32" l="1"/>
  <c r="F163" i="32"/>
  <c r="F146" i="32"/>
  <c r="F148" i="32"/>
  <c r="F46" i="32"/>
  <c r="G10" i="32" s="1"/>
  <c r="H47" i="16" s="1"/>
  <c r="F193" i="32"/>
  <c r="G17" i="32" s="1"/>
  <c r="H55" i="16" s="1"/>
  <c r="F74" i="32"/>
  <c r="G11" i="32" s="1"/>
  <c r="H48" i="16" s="1"/>
  <c r="F134" i="31"/>
  <c r="F119" i="31"/>
  <c r="F117" i="31"/>
  <c r="F133" i="31"/>
  <c r="F149" i="31"/>
  <c r="F72" i="32"/>
  <c r="F178" i="32"/>
  <c r="F44" i="32"/>
  <c r="F43" i="31"/>
  <c r="G10" i="31"/>
  <c r="B47" i="16" s="1"/>
  <c r="F84" i="31"/>
  <c r="F95" i="31"/>
  <c r="F90" i="31"/>
  <c r="F97" i="31"/>
  <c r="F98" i="31"/>
  <c r="F147" i="32" l="1"/>
  <c r="F149" i="32" s="1"/>
  <c r="F180" i="32"/>
  <c r="G16" i="32" s="1"/>
  <c r="H54" i="16" s="1"/>
  <c r="F118" i="31"/>
  <c r="F120" i="31" s="1"/>
  <c r="F151" i="31"/>
  <c r="G15" i="31" s="1"/>
  <c r="B54" i="16" s="1"/>
  <c r="F164" i="32"/>
  <c r="F101" i="31"/>
  <c r="G12" i="31" s="1"/>
  <c r="B51" i="16" s="1"/>
  <c r="F135" i="31"/>
  <c r="F99" i="31"/>
  <c r="F166" i="32" l="1"/>
  <c r="G15" i="32" s="1"/>
  <c r="H53" i="16" s="1"/>
  <c r="F137" i="31"/>
  <c r="G14" i="31" s="1"/>
  <c r="B53" i="16" s="1"/>
  <c r="D39" i="22" l="1"/>
  <c r="C40" i="22"/>
  <c r="J142" i="32" l="1"/>
  <c r="I151" i="32" s="1"/>
  <c r="J14" i="32" s="1"/>
  <c r="J86" i="35"/>
  <c r="J12" i="35" s="1"/>
  <c r="J16" i="35" s="1"/>
  <c r="G86" i="35"/>
  <c r="G12" i="35" s="1"/>
  <c r="J113" i="31"/>
  <c r="I122" i="31" s="1"/>
  <c r="J13" i="31" s="1"/>
  <c r="D40" i="22"/>
  <c r="M113" i="31" s="1"/>
  <c r="M112" i="31"/>
  <c r="G113" i="31"/>
  <c r="G142" i="32"/>
  <c r="C52" i="16" l="1"/>
  <c r="J17" i="31"/>
  <c r="C56" i="16" s="1"/>
  <c r="M52" i="16"/>
  <c r="G16" i="35"/>
  <c r="M56" i="16" s="1"/>
  <c r="N52" i="16"/>
  <c r="N56" i="16"/>
  <c r="I52" i="16"/>
  <c r="J18" i="32"/>
  <c r="I56" i="16" s="1"/>
  <c r="L122" i="31"/>
  <c r="M13" i="31" s="1"/>
  <c r="D52" i="16" s="1"/>
  <c r="F151" i="32"/>
  <c r="G14" i="32" s="1"/>
  <c r="F122" i="31"/>
  <c r="G13" i="31" s="1"/>
  <c r="M17" i="31" l="1"/>
  <c r="D56" i="16" s="1"/>
  <c r="G18" i="32"/>
  <c r="H56" i="16" s="1"/>
  <c r="H52" i="16"/>
  <c r="B52" i="16"/>
  <c r="G17" i="31"/>
  <c r="B5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Hier neu berechnete Versionen verlinken (bulk material 1 + 2 zusammenfassen, etc.)</t>
        </r>
      </text>
    </comment>
    <comment ref="N45" authorId="0" shapeId="0" xr:uid="{2F71CCE6-CB88-4E68-880D-3F26D2F196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Hier neu berechnete Versionen verlinken (bulk material 1 + 2 zusammenfassen, etc.)</t>
        </r>
      </text>
    </comment>
    <comment ref="O45" authorId="0" shapeId="0" xr:uid="{53A5C7A4-D929-40EF-A526-F9801DE50F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Hier neu berechnete Versionen verlinken (bulk material 1 + 2 zusammenfassen, etc.)</t>
        </r>
      </text>
    </comment>
    <comment ref="P45" authorId="0" shapeId="0" xr:uid="{72D8C634-A53C-4D4D-9FED-E92CC29649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Hier neu berechnete Versionen verlinken (bulk material 1 + 2 zusammenfassen, etc.)</t>
        </r>
      </text>
    </comment>
    <comment ref="Q45" authorId="0" shapeId="0" xr:uid="{635B4A5D-2411-4477-8496-19B1F3F9AF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Hier neu berechnete Versionen verlinken (bulk material 1 + 2 zusammenfassen, etc.)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grobe Erstabschätzung Empa</t>
        </r>
      </text>
    </comment>
    <comment ref="E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grobe Erstabschätzung Empa</t>
        </r>
      </text>
    </comment>
    <comment ref="E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grobe Erstabschätzung Empa</t>
        </r>
      </text>
    </comment>
    <comment ref="E1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grobe Erstabschätzung Empa</t>
        </r>
      </text>
    </comment>
    <comment ref="M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Wert abgeschätzt mit benötigter Schmelzenergie für 1 kg PET</t>
        </r>
      </text>
    </comment>
    <comment ref="C3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Schweizer Strommix 2021:
https://www.admin.ch/gov/de/start/dokumentation/medienmitteilungen.msg-id-90221.html
https://www.strom.ch/de/energiewissen/produktion-und-handel/produktion-strommix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 Spalte wird für eine spezifische Variante der Bahnschwelle der Ressourcendruck berechnet.
In der ersten Spalte empfiehlt sich die Berechnung einer 'Basisvariante'.
Für weitere Varianten, Spalte F, G und H weiter nach rechts kopieren.</t>
        </r>
      </text>
    </comment>
    <comment ref="F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Alle bläulich gefärbten Zellen sind Input-Zellen.
In dieser Zelle kann mit einer grundlegenden Option ausgewählt werden, wie hoch der Primärgehalt der verschiedenen Materialien ist:
- basic_primary material content
- green_primary material content
Was hier ausgewählt wird bezieht sich auf die 'Material characteristics' Tabelle im Tabellenblatt 'Materials and energy' und hat Auswirkungen auf die verschiedenen Materialkomponenten unten (cement, gravel, etc.).</t>
        </r>
      </text>
    </comment>
    <comment ref="F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dieser Zelle kann mit einer grundlegenden Option ausgewählt werden, wie hoch der Primärgehalt der verschiedenen Materialien ist:
- basic_collection rate
- green_collection rate
Kein wirklicher Unterschied, da für Bahnschwellen beides 1 ist.
Was hier ausgewählt wird bezieht sich auf die 'Material characteristics' Tabelle im Tabellenblatt 'Materials and energy' und hat Auswirkungen auf die verschiedenen Materialkomponenten unten (cement, gravel, etc.).</t>
        </r>
      </text>
    </comment>
    <comment ref="F7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dieser Zelle kann mit einer grundlegenden Option ausgewählt werden, wie hoch der Primärgehalt der verschiedenen Materialien ist:
- basic_recycling rate
- green_recycling rate
Was hier ausgewählt wird bezieht sich auf die 'Material characteristics' Tabelle im Tabellenblatt 'Materials and energy' und hat Auswirkungen auf die verschiedenen Materialkomponenten unten (cement, gravel, etc.).</t>
        </r>
      </text>
    </comment>
    <comment ref="F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dieser Zelle kann mit einer grundlegenden Option ausgewählt werden, wie hoch der Primärgehalt der verschiedenen Materialien ist:
- basic_cascading rate
- green_cascading rate
Was hier ausgewählt wird bezieht sich auf die 'Material characteristics' Tabelle im Tabellenblatt 'Materials and energy' und hat Auswirkungen auf die verschiedenen Materialkomponenten unten (cement, gravel, etc.).</t>
        </r>
      </text>
    </comment>
    <comment ref="F10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Betonschwellen bestehen aus unterschiedlichen Materialkomponenten, darunter 'bulk materials' wie Zement, Kies, etc.
Hier beispielsweise 'cement' eintragen.</t>
        </r>
      </text>
    </comment>
    <comment ref="F1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Betonschwellen bestehen aus unterschiedlichen Materialkomponenten, darunter 'bulk materials' wie Zement, Kies, etc.
Hier beispielsweise 'gravel' eintragen.</t>
        </r>
      </text>
    </comment>
    <comment ref="F12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Nebst dem 'bulk material' braucht eine Betonschwelle auch Armierung.
Hier 'steel alloyed' eintragen (Vorspannlitzen, Befestigungen).</t>
        </r>
      </text>
    </comment>
    <comment ref="F1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Wie man in der Tabelle 'Material characteristics' im Tabellenblatt 'Materials and energy' sieht, besteht eine Betonschwelle auch aus zusätzlichen 'formgebenden' Materialien.
Hier deshalb 'PA-GF30' einfügen.</t>
        </r>
      </text>
    </comment>
    <comment ref="F14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electricity, heat, transport land und transport overseas kann man wiederum eine Basisvariante oder eine "grüne" Variante zuweisen. Für eine erste Analyse passt die Basisvariante gut.</t>
        </r>
      </text>
    </comment>
    <comment ref="F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Wenn man oben die blau gefärbten Zellen ausfüllt, muss man hier unten nichts mehr manuell eingeben.</t>
        </r>
      </text>
    </comment>
    <comment ref="I2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Wenn man oben die blau gefärbten Zellen ausfüllt, muss man hier unten nichts mehr manuell eingeben.</t>
        </r>
      </text>
    </comment>
    <comment ref="L2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Wenn man oben die blau gefärbten Zellen ausfüllt, muss man hier unten nichts mehr manuell eingeben.</t>
        </r>
      </text>
    </comment>
    <comment ref="O2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Wenn man oben die blau gefärbten Zellen ausfüllt, muss man hier unten nichts mehr manuell eingeben.</t>
        </r>
      </text>
    </comment>
    <comment ref="R2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Wenn man oben die blau gefärbten Zellen ausfüllt, muss man hier unten nichts mehr manuell eingeben.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<sst xmlns="http://schemas.openxmlformats.org/spreadsheetml/2006/main" count="1827" uniqueCount="332">
  <si>
    <t>unit</t>
  </si>
  <si>
    <t>-</t>
  </si>
  <si>
    <t>kg</t>
  </si>
  <si>
    <t>kg/a</t>
  </si>
  <si>
    <t>cascadability</t>
  </si>
  <si>
    <t>recyclability</t>
  </si>
  <si>
    <t>final loss</t>
  </si>
  <si>
    <t>primary material content</t>
  </si>
  <si>
    <t>collection rate</t>
  </si>
  <si>
    <t>recycling rate</t>
  </si>
  <si>
    <t>ERP</t>
  </si>
  <si>
    <t>Process/product</t>
  </si>
  <si>
    <t>Unit</t>
  </si>
  <si>
    <t>FU</t>
  </si>
  <si>
    <t>version</t>
  </si>
  <si>
    <t>category</t>
  </si>
  <si>
    <t>limiting boundary</t>
  </si>
  <si>
    <t>Material</t>
  </si>
  <si>
    <t>CO_2</t>
  </si>
  <si>
    <t xml:space="preserve">biodiversity </t>
  </si>
  <si>
    <t>of EoL products</t>
  </si>
  <si>
    <t>cascadability rate</t>
  </si>
  <si>
    <t>loss rate</t>
  </si>
  <si>
    <t>mass required</t>
  </si>
  <si>
    <t>in relation to product</t>
  </si>
  <si>
    <t>per product</t>
  </si>
  <si>
    <t>Environmental Ressource Potential</t>
  </si>
  <si>
    <t>Resource Pressure Calculation</t>
  </si>
  <si>
    <t>name</t>
  </si>
  <si>
    <t>description</t>
  </si>
  <si>
    <t>Input cell</t>
  </si>
  <si>
    <t>τ</t>
  </si>
  <si>
    <t>icon</t>
  </si>
  <si>
    <t>secondary material content</t>
  </si>
  <si>
    <t>per input (primary and secondary) without recycling</t>
  </si>
  <si>
    <t>overall</t>
  </si>
  <si>
    <t>Overview</t>
  </si>
  <si>
    <t>option</t>
  </si>
  <si>
    <t>base material</t>
  </si>
  <si>
    <t>coating</t>
  </si>
  <si>
    <t>heat</t>
  </si>
  <si>
    <t>electricity</t>
  </si>
  <si>
    <t>transport</t>
  </si>
  <si>
    <t>ressource pressure</t>
  </si>
  <si>
    <t>material</t>
  </si>
  <si>
    <t>aspect</t>
  </si>
  <si>
    <t>mat</t>
  </si>
  <si>
    <t>kWh</t>
  </si>
  <si>
    <t>kWh/a</t>
  </si>
  <si>
    <t>ht</t>
  </si>
  <si>
    <t>el</t>
  </si>
  <si>
    <t>PE</t>
  </si>
  <si>
    <t>kilogram</t>
  </si>
  <si>
    <t>ecoinvent3_9</t>
  </si>
  <si>
    <t>kilowatt hour</t>
  </si>
  <si>
    <t>ton kilometer</t>
  </si>
  <si>
    <t>Identifier</t>
  </si>
  <si>
    <t>mass</t>
  </si>
  <si>
    <t>manufacturing losses</t>
  </si>
  <si>
    <t>of manufacturing losses</t>
  </si>
  <si>
    <t>of collected manufacturing losses</t>
  </si>
  <si>
    <t>of collected EoL products (base material)</t>
  </si>
  <si>
    <t>cascading rate</t>
  </si>
  <si>
    <t>of collected EoL products (coating)</t>
  </si>
  <si>
    <t>heat required</t>
  </si>
  <si>
    <t>electricity required</t>
  </si>
  <si>
    <t>transport required</t>
  </si>
  <si>
    <t>share</t>
  </si>
  <si>
    <t>heat, propane, industrial</t>
  </si>
  <si>
    <t>v3.9 cut-off</t>
  </si>
  <si>
    <t>electricity, coal</t>
  </si>
  <si>
    <t>electricity, oil</t>
  </si>
  <si>
    <t>electricity, gas</t>
  </si>
  <si>
    <t>electricity, nuclear</t>
  </si>
  <si>
    <t>electricity, wind, onshore</t>
  </si>
  <si>
    <t>electricity, wind, offshore</t>
  </si>
  <si>
    <t>electricity, geothermal</t>
  </si>
  <si>
    <t>electricity, wood</t>
  </si>
  <si>
    <t>electricity, hydro</t>
  </si>
  <si>
    <t>electricity, solar, desert</t>
  </si>
  <si>
    <t>electricity, PV, rooftop</t>
  </si>
  <si>
    <t>heat, gas</t>
  </si>
  <si>
    <t>heat, wood</t>
  </si>
  <si>
    <t>heat, solar</t>
  </si>
  <si>
    <t>freight, train, diesel</t>
  </si>
  <si>
    <t>freight, train, electric</t>
  </si>
  <si>
    <t>transport, lorry</t>
  </si>
  <si>
    <t>transport, sea</t>
  </si>
  <si>
    <t>transport, air</t>
  </si>
  <si>
    <t>Al wrought</t>
  </si>
  <si>
    <t>aluminium, wrought alloy, primary</t>
  </si>
  <si>
    <t>Al cast</t>
  </si>
  <si>
    <t>aluminium, cast alloy, primary</t>
  </si>
  <si>
    <t>Cu</t>
  </si>
  <si>
    <t>copper</t>
  </si>
  <si>
    <t>Cr</t>
  </si>
  <si>
    <t>chromium</t>
  </si>
  <si>
    <t>Ag</t>
  </si>
  <si>
    <t>silver</t>
  </si>
  <si>
    <t>polyurethane, rigid foam</t>
  </si>
  <si>
    <t>epoxy</t>
  </si>
  <si>
    <t>epoxy coating</t>
  </si>
  <si>
    <t>biophysical</t>
  </si>
  <si>
    <t>based on ecoinvent, ATP, Lenzen, IEA PVPS</t>
  </si>
  <si>
    <t>tkm/a</t>
  </si>
  <si>
    <t>tkm</t>
  </si>
  <si>
    <t>total</t>
  </si>
  <si>
    <t>trans</t>
  </si>
  <si>
    <t>Ecological Resource Potentials</t>
  </si>
  <si>
    <t>ERP effective [FU/a]</t>
  </si>
  <si>
    <t>el, coal</t>
  </si>
  <si>
    <t>el, oil</t>
  </si>
  <si>
    <t>el, gas</t>
  </si>
  <si>
    <t>el, nuclear</t>
  </si>
  <si>
    <t>el, wind, on</t>
  </si>
  <si>
    <t>el, wind, off</t>
  </si>
  <si>
    <t>el, wood</t>
  </si>
  <si>
    <t>el, hydro</t>
  </si>
  <si>
    <t>ht, gas</t>
  </si>
  <si>
    <t>ht, solar</t>
  </si>
  <si>
    <t>ht, wood</t>
  </si>
  <si>
    <t>trans, freight, train, diesel</t>
  </si>
  <si>
    <t>trans, freight, train, electric</t>
  </si>
  <si>
    <t>trans, lorry</t>
  </si>
  <si>
    <t>trans, sea</t>
  </si>
  <si>
    <t>trans, air</t>
  </si>
  <si>
    <t>basic</t>
  </si>
  <si>
    <t>green</t>
  </si>
  <si>
    <t>EoL products</t>
  </si>
  <si>
    <t>uniformal</t>
  </si>
  <si>
    <t>Impact of increased secondary material use.</t>
  </si>
  <si>
    <t>Impact of increased recycling and cascading.</t>
  </si>
  <si>
    <t>electricity required [kWh/kg]</t>
  </si>
  <si>
    <t>heat required [kWh/kg]</t>
  </si>
  <si>
    <t>electricity source</t>
  </si>
  <si>
    <t>electricity mix</t>
  </si>
  <si>
    <t>heat mix</t>
  </si>
  <si>
    <t>heat source</t>
  </si>
  <si>
    <t>transport mode</t>
  </si>
  <si>
    <t>ERP identifier</t>
  </si>
  <si>
    <t>basic_primary material content</t>
  </si>
  <si>
    <t>green_primary material content</t>
  </si>
  <si>
    <t>basic_collection rate</t>
  </si>
  <si>
    <t>green_collection rate</t>
  </si>
  <si>
    <t>basic_recycling rate</t>
  </si>
  <si>
    <t>green_recycling rate</t>
  </si>
  <si>
    <t>basic_cascading rate</t>
  </si>
  <si>
    <t>green_cascading rate</t>
  </si>
  <si>
    <t>electricity to manufacture product</t>
  </si>
  <si>
    <t>heat to manufacture product</t>
  </si>
  <si>
    <t>heat, oil</t>
  </si>
  <si>
    <t>ht, oil</t>
  </si>
  <si>
    <t>heat, heat pump</t>
  </si>
  <si>
    <t>ht, heat pump</t>
  </si>
  <si>
    <t>electricity to recycle/cascade product</t>
  </si>
  <si>
    <t>heat to recycle/cascade product</t>
  </si>
  <si>
    <t>electricity to heat</t>
  </si>
  <si>
    <t>heat pump factor</t>
  </si>
  <si>
    <t>total (heat not provided by electricity)</t>
  </si>
  <si>
    <t>heat (heat not provided by electricity)</t>
  </si>
  <si>
    <t>transport land</t>
  </si>
  <si>
    <t>transport overseas</t>
  </si>
  <si>
    <t>basic_land</t>
  </si>
  <si>
    <t>green_land</t>
  </si>
  <si>
    <t>basic_overseas</t>
  </si>
  <si>
    <t>green_overseas</t>
  </si>
  <si>
    <t>transport mix land</t>
  </si>
  <si>
    <t>transport mix overseas</t>
  </si>
  <si>
    <t>concrete</t>
  </si>
  <si>
    <t>cement</t>
  </si>
  <si>
    <t>bulk material</t>
  </si>
  <si>
    <t>water</t>
  </si>
  <si>
    <t>gravel</t>
  </si>
  <si>
    <t>Spanneisen</t>
  </si>
  <si>
    <t>concrete additives</t>
  </si>
  <si>
    <t>neglected</t>
  </si>
  <si>
    <t>wood</t>
  </si>
  <si>
    <t>Rippenplatte, Befestigungen</t>
  </si>
  <si>
    <t>SICUT</t>
  </si>
  <si>
    <t>PET</t>
  </si>
  <si>
    <t>PUR</t>
  </si>
  <si>
    <t>Recycleter PET</t>
  </si>
  <si>
    <t>nicht subkutan brechend</t>
  </si>
  <si>
    <t>oak</t>
  </si>
  <si>
    <t>Entweder Buche oder Eiche</t>
  </si>
  <si>
    <t>co_01</t>
  </si>
  <si>
    <t>reinforcement</t>
  </si>
  <si>
    <t>wo_01</t>
  </si>
  <si>
    <t>Besohlung; Bei Getzner als Sylomer®; beschrieben durch SLB 7000 FT</t>
  </si>
  <si>
    <t>form</t>
  </si>
  <si>
    <t>chemicals</t>
  </si>
  <si>
    <t>Teeröl; ca.75-90 % Polycyclische aromatische Kohlenwasserstoffe und 5-17 % Xylenole und Naphthole und diverses</t>
  </si>
  <si>
    <t>PA-GF30</t>
  </si>
  <si>
    <t>Materials and energy</t>
  </si>
  <si>
    <t>lifetime [a]</t>
  </si>
  <si>
    <t>Material characteristics</t>
  </si>
  <si>
    <t>Sleeper characteristics</t>
  </si>
  <si>
    <t>sleeper type</t>
  </si>
  <si>
    <t>use</t>
  </si>
  <si>
    <t>remarks</t>
  </si>
  <si>
    <t>railway gravel thickness [m]</t>
  </si>
  <si>
    <t>per sleeper [kg]</t>
  </si>
  <si>
    <t>per sleeper</t>
  </si>
  <si>
    <t>manufacturing transport</t>
  </si>
  <si>
    <t>installation transport</t>
  </si>
  <si>
    <t>disposal transport</t>
  </si>
  <si>
    <t>[km]</t>
  </si>
  <si>
    <t>bulk material 1</t>
  </si>
  <si>
    <t>bulk material 2</t>
  </si>
  <si>
    <t>steel alloyed</t>
  </si>
  <si>
    <t>wo_02</t>
  </si>
  <si>
    <t>collection rate of EoL sleeper materials</t>
  </si>
  <si>
    <t>recycling rate of collected EoL sleeper materials</t>
  </si>
  <si>
    <t>cascading rate of collected EoL sleeper materials</t>
  </si>
  <si>
    <t>si_01</t>
  </si>
  <si>
    <t>si_02</t>
  </si>
  <si>
    <t xml:space="preserve">reinforcement </t>
  </si>
  <si>
    <t>co_02</t>
  </si>
  <si>
    <t>wo_03</t>
  </si>
  <si>
    <t>Category explanation</t>
  </si>
  <si>
    <t>creosote</t>
  </si>
  <si>
    <t>reinforcing bars</t>
  </si>
  <si>
    <t>sleeper sole</t>
  </si>
  <si>
    <t>ribbed plate</t>
  </si>
  <si>
    <t>beech or oak</t>
  </si>
  <si>
    <t>glass fibers</t>
  </si>
  <si>
    <r>
      <rPr>
        <b/>
        <sz val="11"/>
        <color theme="1"/>
        <rFont val="Calibri"/>
        <family val="2"/>
        <scheme val="minor"/>
      </rPr>
      <t>combined with steel unalloyed</t>
    </r>
    <r>
      <rPr>
        <sz val="11"/>
        <color theme="1"/>
        <rFont val="Calibri"/>
        <family val="2"/>
        <scheme val="minor"/>
      </rPr>
      <t>; Vorspannlitzen, Befestigungen</t>
    </r>
  </si>
  <si>
    <t>low-alloyed steel</t>
  </si>
  <si>
    <t>steel, low-alloyed//[RoW] steel production, converter, low-alloyed</t>
  </si>
  <si>
    <t>chromium steel</t>
  </si>
  <si>
    <t>steel, chromium steel 18/8//[GLO] market for steel, chromium steel 18/8</t>
  </si>
  <si>
    <t>unalloyed steel</t>
  </si>
  <si>
    <t>steel, unalloyed//[GLO] market for steel, unalloyed</t>
  </si>
  <si>
    <t>polyethylene terephthalate, granulate, amorphous//[GLO] market for polyethylene terephthalate, granulate, amorphous</t>
  </si>
  <si>
    <t>High Density Polyethylene (HDPE)</t>
  </si>
  <si>
    <t>polyethylene, high density, granulate//[GLO] market for polyethylene, high density, granulate</t>
  </si>
  <si>
    <t>Low-density polyethylene (LDPE)</t>
  </si>
  <si>
    <t>polyethylene, low density, granulate//[RoW] polyethylene production, low density, granulate</t>
  </si>
  <si>
    <t>Linear low-density polyethylene (LLDPE)</t>
  </si>
  <si>
    <t>polyethylene, linear low density, granulate//[GLO] market for polyethylene, linear low density, granulate</t>
  </si>
  <si>
    <t>Polyvinyl chloride (PVC), bulk polymerisation</t>
  </si>
  <si>
    <t>polyvinylchloride, bulk polymerised//[GLO] market for polyvinylchloride, bulk polymerised</t>
  </si>
  <si>
    <t>Polypropylene (PP)</t>
  </si>
  <si>
    <t>polypropylene, granulate//[GLO] market for polypropylene, granulate</t>
  </si>
  <si>
    <t>Polystyerne (PS)</t>
  </si>
  <si>
    <t>polystyrene, general purpose//[GLO] market for polystyrene, general purpose</t>
  </si>
  <si>
    <t>Polylactic acid (PLA)</t>
  </si>
  <si>
    <t>polylactide, granulate//[GLO] market for polylactide, granulate</t>
  </si>
  <si>
    <t>glass fibre</t>
  </si>
  <si>
    <t>cement (CEM I, general purpose)</t>
  </si>
  <si>
    <t>hardwood</t>
  </si>
  <si>
    <t>hardwoord, beam, dry (u=20%), [CH]</t>
  </si>
  <si>
    <t>cement unspecified from Europe</t>
  </si>
  <si>
    <t>cement unspecified</t>
  </si>
  <si>
    <t>cement (CEM II/A, sulfate resistance)</t>
  </si>
  <si>
    <t>cement (CEM II/B, sulfate resistance)</t>
  </si>
  <si>
    <t>cement (CEM III/B, high early strength)</t>
  </si>
  <si>
    <t>cement (CEM III/C, high early strength)</t>
  </si>
  <si>
    <t>cement (CEM IV/B, low hydration heat)</t>
  </si>
  <si>
    <t>cement (CEM V/A, high sulfate resistance)</t>
  </si>
  <si>
    <t>cement (CEM V/B, high sulfate resistance)</t>
  </si>
  <si>
    <t>steel, low alloyed, transport excluded [CH]</t>
  </si>
  <si>
    <t>polyethylene, high density, GLO</t>
  </si>
  <si>
    <t>glass fibre//[GLO] market for glass fibre</t>
  </si>
  <si>
    <t>cement, Portland//[CH] cement production, Portland</t>
  </si>
  <si>
    <t>gravel, crushed//[CH] gravel production, crushed</t>
  </si>
  <si>
    <t>sawnwood, beam, hardwood, dried (u=20%), planed//[Europe without Switzerland] market for sawnwood, beam, hardwood, dried (u=20%), planed</t>
  </si>
  <si>
    <t>wood preservative, creosote//[RER] market for wood preservative, creosote</t>
  </si>
  <si>
    <t>sawnwood, beam, hardwood, raw, dried (u=20%)//[CH] market for sawnwood, beam, hardwood, raw, dried (u=20%)</t>
  </si>
  <si>
    <t>cement, unspecified//[CH] cement, unspecified, import from Europe</t>
  </si>
  <si>
    <t>cement, unspecified//[CH] market for cement, unspecified</t>
  </si>
  <si>
    <t>cement, CEM II/A//[CH] market for cement, CEM II/A</t>
  </si>
  <si>
    <t>cement, CEM II/B//[CH] market for cement, CEM II/B</t>
  </si>
  <si>
    <t>cement, CEM III/B//[CH] market for cement, CEM III/B</t>
  </si>
  <si>
    <t>cement, CEM III/C//[CH] market for cement, CEM III/C</t>
  </si>
  <si>
    <t>cement, CEM IV/B//[CH] market for cement, CEM IV/B</t>
  </si>
  <si>
    <t>cement, CEM V/A//[CH] market for cement, CEM V/A</t>
  </si>
  <si>
    <t>cement, CEM V/B//[CH] market for cement, CEM V/B</t>
  </si>
  <si>
    <t>steel, low alloyed, production in switzerland, excluding transport</t>
  </si>
  <si>
    <t>el, geo</t>
  </si>
  <si>
    <t>el, PV, desert</t>
  </si>
  <si>
    <t>el, PV, roof</t>
  </si>
  <si>
    <t>ht, propane</t>
  </si>
  <si>
    <t>hardwood, basic</t>
  </si>
  <si>
    <t>hardwood, hohe Sägeverluste</t>
  </si>
  <si>
    <t>hardwood, green</t>
  </si>
  <si>
    <t>carbolineum</t>
  </si>
  <si>
    <t>electricity, PV, roof</t>
  </si>
  <si>
    <t>electricity, PV, desert</t>
  </si>
  <si>
    <t>electricity, geo</t>
  </si>
  <si>
    <t>heat, propane</t>
  </si>
  <si>
    <t>wo_04</t>
  </si>
  <si>
    <t>wo_05</t>
  </si>
  <si>
    <t>wo_06</t>
  </si>
  <si>
    <t>co_03</t>
  </si>
  <si>
    <t>co_04</t>
  </si>
  <si>
    <t>co_05</t>
  </si>
  <si>
    <t>si_03</t>
  </si>
  <si>
    <t>si_04</t>
  </si>
  <si>
    <t>si_05</t>
  </si>
  <si>
    <t>Charles idea</t>
  </si>
  <si>
    <t>Hauptmaterial 1</t>
  </si>
  <si>
    <t>Hauptmaterial 2</t>
  </si>
  <si>
    <t>Bewehrung</t>
  </si>
  <si>
    <t>Form</t>
  </si>
  <si>
    <t>Chemikalien</t>
  </si>
  <si>
    <t>Elektrizität</t>
  </si>
  <si>
    <t>Wärme</t>
  </si>
  <si>
    <t>Landtransport</t>
  </si>
  <si>
    <t>Auslandtransport</t>
  </si>
  <si>
    <t>Holzschwelle</t>
  </si>
  <si>
    <t>Betonschwelle</t>
  </si>
  <si>
    <t>Use phase duration</t>
  </si>
  <si>
    <t>year</t>
  </si>
  <si>
    <t>Life Time</t>
  </si>
  <si>
    <t>SICUT basic 20 Jahre</t>
  </si>
  <si>
    <t>SICUT green 20 Jahre</t>
  </si>
  <si>
    <t>SICUT green 30 Jahre</t>
  </si>
  <si>
    <t>SICUT green 40 Jahre</t>
  </si>
  <si>
    <t>SICUT basic 40 Jahre</t>
  </si>
  <si>
    <t>concrete basic 40 Jahre</t>
  </si>
  <si>
    <t>concrete green 40 Jahre</t>
  </si>
  <si>
    <t>Basis Szenario, 20 Jahre Nutzung</t>
  </si>
  <si>
    <t>Basis Szenario, 40 Jahre Nutzung</t>
  </si>
  <si>
    <t>Basis Senario, 40 Jahre Nutzung</t>
  </si>
  <si>
    <t>Optimiertes Szenario, 40 Jahre Nutzung</t>
  </si>
  <si>
    <t>Basis Szenario, 25 Jahre Nutzung</t>
  </si>
  <si>
    <t>Szenario Hohen Sägeverluste, 25 Jahre Nutzung</t>
  </si>
  <si>
    <t>Optimiertes Szenario, 25 Jahre Nutzung</t>
  </si>
  <si>
    <t>Optimiertes Szenario, 20 Jahre Nutzung</t>
  </si>
  <si>
    <t>Optimiertes Szenario, 30 Jahre Nutzung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</si>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</sst>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Times New Roman"/>
      <family val="1"/>
    </font>
    <font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11" fontId="0" fillId="0" borderId="0" xfId="0" applyNumberFormat="1"/>
    <xf numFmtId="0" fontId="4" fillId="0" borderId="0" xfId="0" applyFont="1"/>
    <xf numFmtId="2" fontId="2" fillId="0" borderId="0" xfId="0" applyNumberFormat="1" applyFont="1"/>
    <xf numFmtId="11" fontId="2" fillId="0" borderId="0" xfId="0" applyNumberFormat="1" applyFont="1"/>
    <xf numFmtId="11" fontId="4" fillId="0" borderId="0" xfId="0" applyNumberFormat="1" applyFont="1"/>
    <xf numFmtId="0" fontId="4" fillId="0" borderId="0" xfId="0" applyFont="1" applyAlignment="1">
      <alignment horizontal="left" wrapText="1"/>
    </xf>
    <xf numFmtId="0" fontId="5" fillId="2" borderId="0" xfId="0" applyFont="1" applyFill="1"/>
    <xf numFmtId="0" fontId="6" fillId="0" borderId="0" xfId="0" applyFont="1" applyAlignment="1">
      <alignment horizontal="center"/>
    </xf>
    <xf numFmtId="2" fontId="0" fillId="0" borderId="0" xfId="0" applyNumberFormat="1"/>
    <xf numFmtId="2" fontId="2" fillId="0" borderId="0" xfId="2" applyNumberFormat="1" applyFont="1" applyFill="1" applyBorder="1" applyAlignme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8" fillId="0" borderId="0" xfId="0" applyFont="1"/>
    <xf numFmtId="164" fontId="2" fillId="0" borderId="0" xfId="0" applyNumberFormat="1" applyFont="1"/>
    <xf numFmtId="11" fontId="4" fillId="0" borderId="1" xfId="0" applyNumberFormat="1" applyFont="1" applyBorder="1"/>
    <xf numFmtId="0" fontId="4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2" fontId="11" fillId="0" borderId="0" xfId="0" applyNumberFormat="1" applyFont="1"/>
    <xf numFmtId="2" fontId="1" fillId="0" borderId="0" xfId="1" applyNumberFormat="1"/>
    <xf numFmtId="0" fontId="4" fillId="0" borderId="0" xfId="0" applyFont="1" applyAlignment="1">
      <alignment horizontal="center"/>
    </xf>
    <xf numFmtId="4" fontId="2" fillId="0" borderId="4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" fontId="0" fillId="0" borderId="0" xfId="0" applyNumberFormat="1"/>
    <xf numFmtId="2" fontId="2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1" fontId="0" fillId="8" borderId="0" xfId="0" applyNumberFormat="1" applyFill="1"/>
    <xf numFmtId="0" fontId="2" fillId="8" borderId="5" xfId="0" applyFont="1" applyFill="1" applyBorder="1"/>
    <xf numFmtId="0" fontId="2" fillId="8" borderId="0" xfId="0" applyFont="1" applyFill="1"/>
    <xf numFmtId="0" fontId="2" fillId="8" borderId="3" xfId="0" applyFont="1" applyFill="1" applyBorder="1"/>
    <xf numFmtId="2" fontId="2" fillId="8" borderId="0" xfId="0" applyNumberFormat="1" applyFont="1" applyFill="1"/>
    <xf numFmtId="4" fontId="2" fillId="8" borderId="0" xfId="0" applyNumberFormat="1" applyFont="1" applyFill="1"/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11" fontId="0" fillId="0" borderId="0" xfId="0" applyNumberFormat="1" applyAlignment="1">
      <alignment horizontal="right"/>
    </xf>
    <xf numFmtId="0" fontId="4" fillId="3" borderId="0" xfId="0" applyFont="1" applyFill="1"/>
    <xf numFmtId="4" fontId="0" fillId="15" borderId="0" xfId="0" applyNumberFormat="1" applyFill="1"/>
    <xf numFmtId="11" fontId="8" fillId="0" borderId="0" xfId="0" applyNumberFormat="1" applyFont="1"/>
    <xf numFmtId="0" fontId="2" fillId="0" borderId="0" xfId="0" applyFont="1" applyAlignment="1">
      <alignment horizontal="center"/>
    </xf>
    <xf numFmtId="0" fontId="0" fillId="15" borderId="0" xfId="0" applyFill="1"/>
    <xf numFmtId="0" fontId="0" fillId="3" borderId="0" xfId="0" applyFill="1"/>
    <xf numFmtId="0" fontId="0" fillId="16" borderId="0" xfId="0" applyFill="1"/>
    <xf numFmtId="0" fontId="2" fillId="3" borderId="0" xfId="0" applyFont="1" applyFill="1"/>
    <xf numFmtId="0" fontId="2" fillId="16" borderId="0" xfId="0" applyFont="1" applyFill="1"/>
    <xf numFmtId="0" fontId="4" fillId="16" borderId="0" xfId="0" applyFont="1" applyFill="1"/>
    <xf numFmtId="0" fontId="7" fillId="0" borderId="0" xfId="0" applyFont="1" applyAlignment="1">
      <alignment horizontal="center" vertical="center" textRotation="90"/>
    </xf>
    <xf numFmtId="4" fontId="0" fillId="3" borderId="0" xfId="0" applyNumberFormat="1" applyFill="1"/>
    <xf numFmtId="4" fontId="0" fillId="16" borderId="0" xfId="0" applyNumberFormat="1" applyFill="1"/>
    <xf numFmtId="0" fontId="13" fillId="0" borderId="0" xfId="0" applyFont="1"/>
    <xf numFmtId="0" fontId="8" fillId="3" borderId="0" xfId="0" applyFont="1" applyFill="1"/>
    <xf numFmtId="0" fontId="2" fillId="15" borderId="0" xfId="0" applyFont="1" applyFill="1"/>
    <xf numFmtId="0" fontId="4" fillId="15" borderId="0" xfId="0" applyFont="1" applyFill="1"/>
    <xf numFmtId="11" fontId="0" fillId="0" borderId="6" xfId="0" applyNumberFormat="1" applyBorder="1"/>
    <xf numFmtId="11" fontId="0" fillId="0" borderId="4" xfId="0" applyNumberFormat="1" applyBorder="1"/>
    <xf numFmtId="0" fontId="0" fillId="0" borderId="8" xfId="0" applyBorder="1"/>
    <xf numFmtId="0" fontId="0" fillId="0" borderId="9" xfId="0" applyBorder="1"/>
    <xf numFmtId="11" fontId="0" fillId="0" borderId="9" xfId="0" applyNumberFormat="1" applyBorder="1"/>
    <xf numFmtId="11" fontId="0" fillId="0" borderId="8" xfId="0" applyNumberFormat="1" applyBorder="1"/>
    <xf numFmtId="11" fontId="0" fillId="0" borderId="10" xfId="0" applyNumberFormat="1" applyBorder="1"/>
    <xf numFmtId="11" fontId="0" fillId="0" borderId="11" xfId="0" applyNumberFormat="1" applyBorder="1"/>
    <xf numFmtId="11" fontId="0" fillId="0" borderId="12" xfId="0" applyNumberFormat="1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8" borderId="0" xfId="0" applyFill="1"/>
    <xf numFmtId="11" fontId="0" fillId="18" borderId="0" xfId="0" applyNumberFormat="1" applyFill="1"/>
    <xf numFmtId="0" fontId="14" fillId="18" borderId="0" xfId="0" applyFont="1" applyFill="1"/>
    <xf numFmtId="0" fontId="2" fillId="11" borderId="0" xfId="0" applyFont="1" applyFill="1" applyAlignment="1">
      <alignment horizontal="left" wrapText="1"/>
    </xf>
    <xf numFmtId="4" fontId="8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4" fontId="8" fillId="5" borderId="0" xfId="0" applyNumberFormat="1" applyFont="1" applyFill="1" applyAlignment="1">
      <alignment horizontal="center"/>
    </xf>
    <xf numFmtId="4" fontId="8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7" fillId="5" borderId="0" xfId="0" applyFont="1" applyFill="1" applyAlignment="1">
      <alignment horizontal="center" vertical="center" textRotation="90"/>
    </xf>
    <xf numFmtId="0" fontId="7" fillId="4" borderId="0" xfId="0" applyFont="1" applyFill="1" applyAlignment="1">
      <alignment horizontal="center" vertical="center" textRotation="90"/>
    </xf>
    <xf numFmtId="0" fontId="7" fillId="6" borderId="0" xfId="0" applyFont="1" applyFill="1" applyAlignment="1">
      <alignment horizontal="center" vertical="center" textRotation="90"/>
    </xf>
    <xf numFmtId="0" fontId="12" fillId="7" borderId="0" xfId="0" applyFont="1" applyFill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 textRotation="90"/>
    </xf>
    <xf numFmtId="0" fontId="12" fillId="17" borderId="0" xfId="0" applyFont="1" applyFill="1" applyAlignment="1">
      <alignment horizontal="center" vertical="center" textRotation="90"/>
    </xf>
    <xf numFmtId="0" fontId="12" fillId="14" borderId="0" xfId="0" applyFont="1" applyFill="1" applyAlignment="1">
      <alignment horizontal="center" vertical="center" textRotation="90"/>
    </xf>
  </cellXfs>
  <cellStyles count="3">
    <cellStyle name="Normal" xfId="0" builtinId="0"/>
    <cellStyle name="Percent" xfId="2" builtinId="5"/>
    <cellStyle name="Standard 5 7" xfId="1" xr:uid="{00000000-0005-0000-0000-000002000000}"/>
  </cellStyles>
  <dxfs count="42">
    <dxf>
      <numFmt numFmtId="15" formatCode="0.00E+0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numFmt numFmtId="4" formatCode="#,##0.00"/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66CC"/>
      <color rgb="FFD07DE7"/>
      <color rgb="FFFFFF00"/>
      <color rgb="FF66FF66"/>
      <color rgb="FF66CCFF"/>
      <color rgb="FFFF3399"/>
      <color rgb="FF95EAF3"/>
      <color rgb="FFC96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28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Ressource pressure of different railway sleeper variations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Overview!$A$47</c:f>
              <c:strCache>
                <c:ptCount val="1"/>
                <c:pt idx="0">
                  <c:v>Hauptmaterial 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Overview!$B$47:$Q$47</c:f>
              <c:numCache>
                <c:formatCode>0.00E+00</c:formatCode>
                <c:ptCount val="16"/>
                <c:pt idx="0">
                  <c:v>9.8466666666666664E-13</c:v>
                </c:pt>
                <c:pt idx="1">
                  <c:v>1.19E-12</c:v>
                </c:pt>
                <c:pt idx="2">
                  <c:v>9.8466666666666664E-13</c:v>
                </c:pt>
                <c:pt idx="3">
                  <c:v>1.0266666666666667E-12</c:v>
                </c:pt>
                <c:pt idx="6">
                  <c:v>2.5957924864401849E-12</c:v>
                </c:pt>
                <c:pt idx="7">
                  <c:v>2.1121044454885973E-12</c:v>
                </c:pt>
                <c:pt idx="11">
                  <c:v>9.2134868624090319E-12</c:v>
                </c:pt>
                <c:pt idx="12">
                  <c:v>1.0034490642227668E-12</c:v>
                </c:pt>
                <c:pt idx="13">
                  <c:v>6.6896604281517763E-13</c:v>
                </c:pt>
                <c:pt idx="14">
                  <c:v>5.017245321113834E-13</c:v>
                </c:pt>
                <c:pt idx="15">
                  <c:v>4.606743431204516E-12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5-412D-BD94-F90E79319B90}"/>
            </c:ext>
          </c:extLst>
        </c:ser>
        <c:ser>
          <c:idx val="1"/>
          <c:order val="1"/>
          <c:tx>
            <c:strRef>
              <c:f>Overview!$A$48</c:f>
              <c:strCache>
                <c:ptCount val="1"/>
                <c:pt idx="0">
                  <c:v>Hauptmaterial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Overview!$B$48:$Q$48</c:f>
              <c:numCache>
                <c:formatCode>General</c:formatCode>
                <c:ptCount val="16"/>
                <c:pt idx="6" formatCode="0.00E+00">
                  <c:v>1.5601221291383827E-14</c:v>
                </c:pt>
                <c:pt idx="7" formatCode="0.00E+00">
                  <c:v>2.7980451229112291E-15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5-412D-BD94-F90E79319B90}"/>
            </c:ext>
          </c:extLst>
        </c:ser>
        <c:ser>
          <c:idx val="2"/>
          <c:order val="2"/>
          <c:tx>
            <c:strRef>
              <c:f>Overview!$A$49</c:f>
              <c:strCache>
                <c:ptCount val="1"/>
                <c:pt idx="0">
                  <c:v>Bewehrung</c:v>
                </c:pt>
              </c:strCache>
            </c:strRef>
          </c:tx>
          <c:spPr>
            <a:solidFill>
              <a:srgbClr val="D07DE7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Overview!$B$49:$Q$49</c:f>
              <c:numCache>
                <c:formatCode>General</c:formatCode>
                <c:ptCount val="16"/>
                <c:pt idx="6" formatCode="0.00E+00">
                  <c:v>3.5753622136409879E-13</c:v>
                </c:pt>
                <c:pt idx="7" formatCode="0.00E+00">
                  <c:v>9.5150768588832769E-14</c:v>
                </c:pt>
                <c:pt idx="12" formatCode="0.00E+00">
                  <c:v>4.7791108392775757E-13</c:v>
                </c:pt>
                <c:pt idx="13" formatCode="0.00E+00">
                  <c:v>3.1860738928517168E-13</c:v>
                </c:pt>
                <c:pt idx="14" formatCode="0.00E+00">
                  <c:v>2.3895554196387878E-13</c:v>
                </c:pt>
                <c:pt idx="15" formatCode="0.00E+00">
                  <c:v>1.3224388897726983E-12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35-412D-BD94-F90E79319B90}"/>
            </c:ext>
          </c:extLst>
        </c:ser>
        <c:ser>
          <c:idx val="3"/>
          <c:order val="3"/>
          <c:tx>
            <c:strRef>
              <c:f>Overview!$A$50</c:f>
              <c:strCache>
                <c:ptCount val="1"/>
                <c:pt idx="0">
                  <c:v>Form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Overview!$B$50:$Q$50</c:f>
              <c:numCache>
                <c:formatCode>0.00E+00</c:formatCode>
                <c:ptCount val="16"/>
                <c:pt idx="0">
                  <c:v>2.0298830632284325E-13</c:v>
                </c:pt>
                <c:pt idx="1">
                  <c:v>2.0298830632284325E-13</c:v>
                </c:pt>
                <c:pt idx="2">
                  <c:v>2.0298830632284325E-13</c:v>
                </c:pt>
                <c:pt idx="3">
                  <c:v>2.0298830632284307E-12</c:v>
                </c:pt>
                <c:pt idx="6">
                  <c:v>1.1388866242211697E-12</c:v>
                </c:pt>
                <c:pt idx="7">
                  <c:v>1.0871190503929348E-12</c:v>
                </c:pt>
                <c:pt idx="11">
                  <c:v>2.6448777795453965E-12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35-412D-BD94-F90E79319B90}"/>
            </c:ext>
          </c:extLst>
        </c:ser>
        <c:ser>
          <c:idx val="4"/>
          <c:order val="4"/>
          <c:tx>
            <c:strRef>
              <c:f>Overview!$A$51</c:f>
              <c:strCache>
                <c:ptCount val="1"/>
                <c:pt idx="0">
                  <c:v>Chemikalien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Overview!$B$51:$Q$51</c:f>
              <c:numCache>
                <c:formatCode>0.00E+00</c:formatCode>
                <c:ptCount val="16"/>
                <c:pt idx="0">
                  <c:v>2.1389085979136346E-12</c:v>
                </c:pt>
                <c:pt idx="1">
                  <c:v>2.1389085979136346E-12</c:v>
                </c:pt>
                <c:pt idx="2">
                  <c:v>2.1389085979136346E-12</c:v>
                </c:pt>
                <c:pt idx="3">
                  <c:v>2.1389085979136346E-12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35-412D-BD94-F90E79319B90}"/>
            </c:ext>
          </c:extLst>
        </c:ser>
        <c:ser>
          <c:idx val="5"/>
          <c:order val="5"/>
          <c:tx>
            <c:strRef>
              <c:f>Overview!$A$52</c:f>
              <c:strCache>
                <c:ptCount val="1"/>
                <c:pt idx="0">
                  <c:v>Elektrizität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Overview!$B$52:$Q$52</c:f>
              <c:numCache>
                <c:formatCode>0.00E+00</c:formatCode>
                <c:ptCount val="16"/>
                <c:pt idx="0">
                  <c:v>3.4746134830186673E-12</c:v>
                </c:pt>
                <c:pt idx="1">
                  <c:v>3.5034228337810372E-12</c:v>
                </c:pt>
                <c:pt idx="2">
                  <c:v>3.0957621935564555E-12</c:v>
                </c:pt>
                <c:pt idx="3">
                  <c:v>1.7848694798905748E-11</c:v>
                </c:pt>
                <c:pt idx="6">
                  <c:v>8.8357249882803691E-13</c:v>
                </c:pt>
                <c:pt idx="7">
                  <c:v>8.8357249882803691E-13</c:v>
                </c:pt>
                <c:pt idx="11">
                  <c:v>2.4050663359656901E-12</c:v>
                </c:pt>
                <c:pt idx="12">
                  <c:v>2.4050663359656901E-12</c:v>
                </c:pt>
                <c:pt idx="13">
                  <c:v>1.6033775573104601E-12</c:v>
                </c:pt>
                <c:pt idx="14">
                  <c:v>1.2025331679828451E-12</c:v>
                </c:pt>
                <c:pt idx="15">
                  <c:v>1.2025331679828451E-12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35-412D-BD94-F90E79319B90}"/>
            </c:ext>
          </c:extLst>
        </c:ser>
        <c:ser>
          <c:idx val="6"/>
          <c:order val="6"/>
          <c:tx>
            <c:strRef>
              <c:f>Overview!$A$53</c:f>
              <c:strCache>
                <c:ptCount val="1"/>
                <c:pt idx="0">
                  <c:v>Wärme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Overview!$B$53:$Q$53</c:f>
              <c:numCache>
                <c:formatCode>0.00E+00</c:formatCode>
                <c:ptCount val="16"/>
                <c:pt idx="0">
                  <c:v>1.2374461437605777E-14</c:v>
                </c:pt>
                <c:pt idx="1">
                  <c:v>1.2374461437605777E-14</c:v>
                </c:pt>
                <c:pt idx="2">
                  <c:v>3.1499999999999999E-16</c:v>
                </c:pt>
                <c:pt idx="3">
                  <c:v>1.5971434305707735E-14</c:v>
                </c:pt>
                <c:pt idx="6">
                  <c:v>0</c:v>
                </c:pt>
                <c:pt idx="7">
                  <c:v>0</c:v>
                </c:pt>
                <c:pt idx="11">
                  <c:v>1.546807679700722E-13</c:v>
                </c:pt>
                <c:pt idx="12">
                  <c:v>1.546807679700722E-13</c:v>
                </c:pt>
                <c:pt idx="13">
                  <c:v>1.0312051198004816E-13</c:v>
                </c:pt>
                <c:pt idx="14">
                  <c:v>7.7340383985036099E-14</c:v>
                </c:pt>
                <c:pt idx="15">
                  <c:v>7.7340383985036099E-14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35-412D-BD94-F90E79319B90}"/>
            </c:ext>
          </c:extLst>
        </c:ser>
        <c:ser>
          <c:idx val="7"/>
          <c:order val="7"/>
          <c:tx>
            <c:strRef>
              <c:f>Overview!$A$54</c:f>
              <c:strCache>
                <c:ptCount val="1"/>
                <c:pt idx="0">
                  <c:v>Landtransport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Overview!$B$54:$Q$54</c:f>
              <c:numCache>
                <c:formatCode>0.00E+00</c:formatCode>
                <c:ptCount val="16"/>
                <c:pt idx="0">
                  <c:v>4.5695932667340553E-14</c:v>
                </c:pt>
                <c:pt idx="1">
                  <c:v>4.5695932667340553E-14</c:v>
                </c:pt>
                <c:pt idx="2">
                  <c:v>2.928920481837421E-14</c:v>
                </c:pt>
                <c:pt idx="3">
                  <c:v>2.1225264914157073E-12</c:v>
                </c:pt>
                <c:pt idx="6">
                  <c:v>2.4779963486885042E-14</c:v>
                </c:pt>
                <c:pt idx="7">
                  <c:v>2.4779963486885042E-14</c:v>
                </c:pt>
                <c:pt idx="11">
                  <c:v>5.7119915834175698E-14</c:v>
                </c:pt>
                <c:pt idx="12">
                  <c:v>5.7119915834175698E-14</c:v>
                </c:pt>
                <c:pt idx="13">
                  <c:v>3.8079943889450463E-14</c:v>
                </c:pt>
                <c:pt idx="14">
                  <c:v>2.8559957917087849E-14</c:v>
                </c:pt>
                <c:pt idx="15">
                  <c:v>2.8559957917087849E-14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35-412D-BD94-F90E79319B90}"/>
            </c:ext>
          </c:extLst>
        </c:ser>
        <c:ser>
          <c:idx val="8"/>
          <c:order val="8"/>
          <c:tx>
            <c:strRef>
              <c:f>Overview!$A$55</c:f>
              <c:strCache>
                <c:ptCount val="1"/>
                <c:pt idx="0">
                  <c:v>Auslandtransport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Overview!$B$55:$Q$55</c:f>
              <c:numCache>
                <c:formatCode>0.00E+00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35-412D-BD94-F90E79319B90}"/>
            </c:ext>
          </c:extLst>
        </c:ser>
        <c:ser>
          <c:idx val="9"/>
          <c:order val="9"/>
          <c:tx>
            <c:strRef>
              <c:f>Overview!$A$56</c:f>
              <c:strCache>
                <c:ptCount val="1"/>
                <c:pt idx="0">
                  <c:v>ressource pressure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Overview!$B$45:$Q$46</c:f>
              <c:multiLvlStrCache>
                <c:ptCount val="16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Charles idea</c:v>
                  </c:pt>
                  <c:pt idx="6">
                    <c:v>Basis Senario, 40 Jahre Nutzung</c:v>
                  </c:pt>
                  <c:pt idx="7">
                    <c:v>Optimiertes Szenario, 40 Jahre Nutzung</c:v>
                  </c:pt>
                  <c:pt idx="11">
                    <c:v>Basis Szenario, 20 Jahre Nutzung</c:v>
                  </c:pt>
                  <c:pt idx="12">
                    <c:v>Optimiertes Szenario, 20 Jahre Nutzung</c:v>
                  </c:pt>
                  <c:pt idx="13">
                    <c:v>Optimiertes Szenario, 30 Jahre Nutzung</c:v>
                  </c:pt>
                  <c:pt idx="14">
                    <c:v>Optimiertes Szenario, 40 Jahre Nutzung</c:v>
                  </c:pt>
                  <c:pt idx="15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wo_04</c:v>
                  </c:pt>
                  <c:pt idx="4">
                    <c:v>wo_05</c:v>
                  </c:pt>
                  <c:pt idx="5">
                    <c:v>wo_06</c:v>
                  </c:pt>
                  <c:pt idx="6">
                    <c:v>Betonschwelle</c:v>
                  </c:pt>
                  <c:pt idx="7">
                    <c:v>Betonschwelle</c:v>
                  </c:pt>
                  <c:pt idx="8">
                    <c:v>co_03</c:v>
                  </c:pt>
                  <c:pt idx="9">
                    <c:v>co_04</c:v>
                  </c:pt>
                  <c:pt idx="10">
                    <c:v>co_05</c:v>
                  </c:pt>
                  <c:pt idx="11">
                    <c:v>SICUT</c:v>
                  </c:pt>
                  <c:pt idx="12">
                    <c:v>SICUT</c:v>
                  </c:pt>
                  <c:pt idx="13">
                    <c:v>SICUT</c:v>
                  </c:pt>
                  <c:pt idx="14">
                    <c:v>SICUT</c:v>
                  </c:pt>
                  <c:pt idx="15">
                    <c:v>SICUT</c:v>
                  </c:pt>
                </c:lvl>
              </c:multiLvlStrCache>
            </c:multiLvlStrRef>
          </c:cat>
          <c:val>
            <c:numRef>
              <c:f>Overview!$B$56:$Q$56</c:f>
              <c:numCache>
                <c:formatCode>0.00E+00</c:formatCode>
                <c:ptCount val="16"/>
                <c:pt idx="0">
                  <c:v>6.8592474480267578E-12</c:v>
                </c:pt>
                <c:pt idx="1">
                  <c:v>7.0933901321224617E-12</c:v>
                </c:pt>
                <c:pt idx="2">
                  <c:v>6.4519299692779744E-12</c:v>
                </c:pt>
                <c:pt idx="3">
                  <c:v>2.5182651052435893E-11</c:v>
                </c:pt>
                <c:pt idx="6">
                  <c:v>5.0161690156317598E-12</c:v>
                </c:pt>
                <c:pt idx="7">
                  <c:v>4.2055247719081984E-12</c:v>
                </c:pt>
                <c:pt idx="11">
                  <c:v>1.4475231661724368E-11</c:v>
                </c:pt>
                <c:pt idx="12">
                  <c:v>4.0982271679204624E-12</c:v>
                </c:pt>
                <c:pt idx="13">
                  <c:v>2.732151445280308E-12</c:v>
                </c:pt>
                <c:pt idx="14">
                  <c:v>2.0491135839602312E-12</c:v>
                </c:pt>
                <c:pt idx="15">
                  <c:v>7.2376158308621838E-12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35-412D-BD94-F90E79319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546440"/>
        <c:axId val="887546768"/>
      </c:barChart>
      <c:catAx>
        <c:axId val="88754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887546768"/>
        <c:crosses val="autoZero"/>
        <c:auto val="1"/>
        <c:lblAlgn val="ctr"/>
        <c:lblOffset val="100"/>
        <c:noMultiLvlLbl val="0"/>
      </c:catAx>
      <c:valAx>
        <c:axId val="887546768"/>
        <c:scaling>
          <c:orientation val="minMax"/>
          <c:max val="1.6000000000000009E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75464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28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Ressourcendruck von drei Eisenbahnschwellenmodellen in verschiedenen Szenarien und Nutzungsdauern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Overview!$A$47</c:f>
              <c:strCache>
                <c:ptCount val="1"/>
                <c:pt idx="0">
                  <c:v>Hauptmaterial 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Overview!$B$47:$Q$47</c15:sqref>
                  </c15:fullRef>
                </c:ext>
              </c:extLst>
              <c:f>(Overview!$B$47:$D$47,Overview!$H$47:$I$47,Overview!$M$47:$Q$47)</c:f>
              <c:numCache>
                <c:formatCode>0.00E+00</c:formatCode>
                <c:ptCount val="10"/>
                <c:pt idx="0">
                  <c:v>9.8466666666666664E-13</c:v>
                </c:pt>
                <c:pt idx="1">
                  <c:v>1.19E-12</c:v>
                </c:pt>
                <c:pt idx="2">
                  <c:v>9.8466666666666664E-13</c:v>
                </c:pt>
                <c:pt idx="3">
                  <c:v>2.5957924864401849E-12</c:v>
                </c:pt>
                <c:pt idx="4">
                  <c:v>2.1121044454885973E-12</c:v>
                </c:pt>
                <c:pt idx="5">
                  <c:v>9.2134868624090319E-12</c:v>
                </c:pt>
                <c:pt idx="6">
                  <c:v>1.0034490642227668E-12</c:v>
                </c:pt>
                <c:pt idx="7">
                  <c:v>6.6896604281517763E-13</c:v>
                </c:pt>
                <c:pt idx="8">
                  <c:v>5.017245321113834E-13</c:v>
                </c:pt>
                <c:pt idx="9">
                  <c:v>4.606743431204516E-12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8-4C1B-84F6-BE1CB0E4F7FE}"/>
            </c:ext>
          </c:extLst>
        </c:ser>
        <c:ser>
          <c:idx val="1"/>
          <c:order val="1"/>
          <c:tx>
            <c:strRef>
              <c:f>Overview!$A$48</c:f>
              <c:strCache>
                <c:ptCount val="1"/>
                <c:pt idx="0">
                  <c:v>Hauptmaterial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Overview!$B$48:$Q$48</c15:sqref>
                  </c15:fullRef>
                </c:ext>
              </c:extLst>
              <c:f>(Overview!$B$48:$D$48,Overview!$H$48:$I$48,Overview!$M$48:$Q$48)</c:f>
              <c:numCache>
                <c:formatCode>General</c:formatCode>
                <c:ptCount val="10"/>
                <c:pt idx="3" formatCode="0.00E+00">
                  <c:v>1.5601221291383827E-14</c:v>
                </c:pt>
                <c:pt idx="4" formatCode="0.00E+00">
                  <c:v>2.7980451229112291E-15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8-4C1B-84F6-BE1CB0E4F7FE}"/>
            </c:ext>
          </c:extLst>
        </c:ser>
        <c:ser>
          <c:idx val="2"/>
          <c:order val="2"/>
          <c:tx>
            <c:strRef>
              <c:f>Overview!$A$49</c:f>
              <c:strCache>
                <c:ptCount val="1"/>
                <c:pt idx="0">
                  <c:v>Bewehrung</c:v>
                </c:pt>
              </c:strCache>
            </c:strRef>
          </c:tx>
          <c:spPr>
            <a:solidFill>
              <a:srgbClr val="D07DE7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Overview!$B$49:$Q$49</c15:sqref>
                  </c15:fullRef>
                </c:ext>
              </c:extLst>
              <c:f>(Overview!$B$49:$D$49,Overview!$H$49:$I$49,Overview!$M$49:$Q$49)</c:f>
              <c:numCache>
                <c:formatCode>General</c:formatCode>
                <c:ptCount val="10"/>
                <c:pt idx="3" formatCode="0.00E+00">
                  <c:v>3.5753622136409879E-13</c:v>
                </c:pt>
                <c:pt idx="4" formatCode="0.00E+00">
                  <c:v>9.5150768588832769E-14</c:v>
                </c:pt>
                <c:pt idx="6" formatCode="0.00E+00">
                  <c:v>4.7791108392775757E-13</c:v>
                </c:pt>
                <c:pt idx="7" formatCode="0.00E+00">
                  <c:v>3.1860738928517168E-13</c:v>
                </c:pt>
                <c:pt idx="8" formatCode="0.00E+00">
                  <c:v>2.3895554196387878E-13</c:v>
                </c:pt>
                <c:pt idx="9" formatCode="0.00E+00">
                  <c:v>1.3224388897726983E-12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8-4C1B-84F6-BE1CB0E4F7FE}"/>
            </c:ext>
          </c:extLst>
        </c:ser>
        <c:ser>
          <c:idx val="3"/>
          <c:order val="3"/>
          <c:tx>
            <c:strRef>
              <c:f>Overview!$A$50</c:f>
              <c:strCache>
                <c:ptCount val="1"/>
                <c:pt idx="0">
                  <c:v>Form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Overview!$B$50:$Q$50</c15:sqref>
                  </c15:fullRef>
                </c:ext>
              </c:extLst>
              <c:f>(Overview!$B$50:$D$50,Overview!$H$50:$I$50,Overview!$M$50:$Q$50)</c:f>
              <c:numCache>
                <c:formatCode>0.00E+00</c:formatCode>
                <c:ptCount val="10"/>
                <c:pt idx="0">
                  <c:v>2.0298830632284325E-13</c:v>
                </c:pt>
                <c:pt idx="1">
                  <c:v>2.0298830632284325E-13</c:v>
                </c:pt>
                <c:pt idx="2">
                  <c:v>2.0298830632284325E-13</c:v>
                </c:pt>
                <c:pt idx="3">
                  <c:v>1.1388866242211697E-12</c:v>
                </c:pt>
                <c:pt idx="4">
                  <c:v>1.0871190503929348E-12</c:v>
                </c:pt>
                <c:pt idx="5">
                  <c:v>2.6448777795453965E-12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68-4C1B-84F6-BE1CB0E4F7FE}"/>
            </c:ext>
          </c:extLst>
        </c:ser>
        <c:ser>
          <c:idx val="4"/>
          <c:order val="4"/>
          <c:tx>
            <c:strRef>
              <c:f>Overview!$A$51</c:f>
              <c:strCache>
                <c:ptCount val="1"/>
                <c:pt idx="0">
                  <c:v>Chemikalien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Overview!$B$51:$Q$51</c15:sqref>
                  </c15:fullRef>
                </c:ext>
              </c:extLst>
              <c:f>(Overview!$B$51:$D$51,Overview!$H$51:$I$51,Overview!$M$51:$Q$51)</c:f>
              <c:numCache>
                <c:formatCode>0.00E+00</c:formatCode>
                <c:ptCount val="10"/>
                <c:pt idx="0">
                  <c:v>2.1389085979136346E-12</c:v>
                </c:pt>
                <c:pt idx="1">
                  <c:v>2.1389085979136346E-12</c:v>
                </c:pt>
                <c:pt idx="2">
                  <c:v>2.1389085979136346E-12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68-4C1B-84F6-BE1CB0E4F7FE}"/>
            </c:ext>
          </c:extLst>
        </c:ser>
        <c:ser>
          <c:idx val="5"/>
          <c:order val="5"/>
          <c:tx>
            <c:strRef>
              <c:f>Overview!$A$52</c:f>
              <c:strCache>
                <c:ptCount val="1"/>
                <c:pt idx="0">
                  <c:v>Elektrizität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Overview!$B$52:$Q$52</c15:sqref>
                  </c15:fullRef>
                </c:ext>
              </c:extLst>
              <c:f>(Overview!$B$52:$D$52,Overview!$H$52:$I$52,Overview!$M$52:$Q$52)</c:f>
              <c:numCache>
                <c:formatCode>0.00E+00</c:formatCode>
                <c:ptCount val="10"/>
                <c:pt idx="0">
                  <c:v>3.4746134830186673E-12</c:v>
                </c:pt>
                <c:pt idx="1">
                  <c:v>3.5034228337810372E-12</c:v>
                </c:pt>
                <c:pt idx="2">
                  <c:v>3.0957621935564555E-12</c:v>
                </c:pt>
                <c:pt idx="3">
                  <c:v>8.8357249882803691E-13</c:v>
                </c:pt>
                <c:pt idx="4">
                  <c:v>8.8357249882803691E-13</c:v>
                </c:pt>
                <c:pt idx="5">
                  <c:v>2.4050663359656901E-12</c:v>
                </c:pt>
                <c:pt idx="6">
                  <c:v>2.4050663359656901E-12</c:v>
                </c:pt>
                <c:pt idx="7">
                  <c:v>1.6033775573104601E-12</c:v>
                </c:pt>
                <c:pt idx="8">
                  <c:v>1.2025331679828451E-12</c:v>
                </c:pt>
                <c:pt idx="9">
                  <c:v>1.2025331679828451E-12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68-4C1B-84F6-BE1CB0E4F7FE}"/>
            </c:ext>
          </c:extLst>
        </c:ser>
        <c:ser>
          <c:idx val="6"/>
          <c:order val="6"/>
          <c:tx>
            <c:strRef>
              <c:f>Overview!$A$53</c:f>
              <c:strCache>
                <c:ptCount val="1"/>
                <c:pt idx="0">
                  <c:v>Wärme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Overview!$B$53:$Q$53</c15:sqref>
                  </c15:fullRef>
                </c:ext>
              </c:extLst>
              <c:f>(Overview!$B$53:$D$53,Overview!$H$53:$I$53,Overview!$M$53:$Q$53)</c:f>
              <c:numCache>
                <c:formatCode>0.00E+00</c:formatCode>
                <c:ptCount val="10"/>
                <c:pt idx="0">
                  <c:v>1.2374461437605777E-14</c:v>
                </c:pt>
                <c:pt idx="1">
                  <c:v>1.2374461437605777E-14</c:v>
                </c:pt>
                <c:pt idx="2">
                  <c:v>3.1499999999999999E-16</c:v>
                </c:pt>
                <c:pt idx="3">
                  <c:v>0</c:v>
                </c:pt>
                <c:pt idx="4">
                  <c:v>0</c:v>
                </c:pt>
                <c:pt idx="5">
                  <c:v>1.546807679700722E-13</c:v>
                </c:pt>
                <c:pt idx="6">
                  <c:v>1.546807679700722E-13</c:v>
                </c:pt>
                <c:pt idx="7">
                  <c:v>1.0312051198004816E-13</c:v>
                </c:pt>
                <c:pt idx="8">
                  <c:v>7.7340383985036099E-14</c:v>
                </c:pt>
                <c:pt idx="9">
                  <c:v>7.7340383985036099E-14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68-4C1B-84F6-BE1CB0E4F7FE}"/>
            </c:ext>
          </c:extLst>
        </c:ser>
        <c:ser>
          <c:idx val="7"/>
          <c:order val="7"/>
          <c:tx>
            <c:strRef>
              <c:f>Overview!$A$54</c:f>
              <c:strCache>
                <c:ptCount val="1"/>
                <c:pt idx="0">
                  <c:v>Landtransport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Overview!$B$54:$Q$54</c15:sqref>
                  </c15:fullRef>
                </c:ext>
              </c:extLst>
              <c:f>(Overview!$B$54:$D$54,Overview!$H$54:$I$54,Overview!$M$54:$Q$54)</c:f>
              <c:numCache>
                <c:formatCode>0.00E+00</c:formatCode>
                <c:ptCount val="10"/>
                <c:pt idx="0">
                  <c:v>4.5695932667340553E-14</c:v>
                </c:pt>
                <c:pt idx="1">
                  <c:v>4.5695932667340553E-14</c:v>
                </c:pt>
                <c:pt idx="2">
                  <c:v>2.928920481837421E-14</c:v>
                </c:pt>
                <c:pt idx="3">
                  <c:v>2.4779963486885042E-14</c:v>
                </c:pt>
                <c:pt idx="4">
                  <c:v>2.4779963486885042E-14</c:v>
                </c:pt>
                <c:pt idx="5">
                  <c:v>5.7119915834175698E-14</c:v>
                </c:pt>
                <c:pt idx="6">
                  <c:v>5.7119915834175698E-14</c:v>
                </c:pt>
                <c:pt idx="7">
                  <c:v>3.8079943889450463E-14</c:v>
                </c:pt>
                <c:pt idx="8">
                  <c:v>2.8559957917087849E-14</c:v>
                </c:pt>
                <c:pt idx="9">
                  <c:v>2.8559957917087849E-14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68-4C1B-84F6-BE1CB0E4F7FE}"/>
            </c:ext>
          </c:extLst>
        </c:ser>
        <c:ser>
          <c:idx val="8"/>
          <c:order val="8"/>
          <c:tx>
            <c:strRef>
              <c:f>Overview!$A$55</c:f>
              <c:strCache>
                <c:ptCount val="1"/>
                <c:pt idx="0">
                  <c:v>Auslandtransport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Overview!$B$55:$Q$55</c15:sqref>
                  </c15:fullRef>
                </c:ext>
              </c:extLst>
              <c:f>(Overview!$B$55:$D$55,Overview!$H$55:$I$55,Overview!$M$55:$Q$55)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68-4C1B-84F6-BE1CB0E4F7FE}"/>
            </c:ext>
          </c:extLst>
        </c:ser>
        <c:ser>
          <c:idx val="9"/>
          <c:order val="9"/>
          <c:tx>
            <c:strRef>
              <c:f>Overview!$A$56</c:f>
              <c:strCache>
                <c:ptCount val="1"/>
                <c:pt idx="0">
                  <c:v>ressource pressure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Overview!$B$45:$Q$46</c:f>
              <c:multiLvlStrCache>
                <c:ptCount val="10"/>
                <c:lvl>
                  <c:pt idx="0">
                    <c:v>Basis Szenario, 25 Jahre Nutzung</c:v>
                  </c:pt>
                  <c:pt idx="1">
                    <c:v>Szenario Hohen Sägeverluste, 25 Jahre Nutzung</c:v>
                  </c:pt>
                  <c:pt idx="2">
                    <c:v>Optimiertes Szenario, 25 Jahre Nutzung</c:v>
                  </c:pt>
                  <c:pt idx="3">
                    <c:v>Basis Senario, 40 Jahre Nutzung</c:v>
                  </c:pt>
                  <c:pt idx="4">
                    <c:v>Optimiertes Szenario, 40 Jahre Nutzung</c:v>
                  </c:pt>
                  <c:pt idx="5">
                    <c:v>Basis Szenario, 20 Jahre Nutzung</c:v>
                  </c:pt>
                  <c:pt idx="6">
                    <c:v>Optimiertes Szenario, 20 Jahre Nutzung</c:v>
                  </c:pt>
                  <c:pt idx="7">
                    <c:v>Optimiertes Szenario, 30 Jahre Nutzung</c:v>
                  </c:pt>
                  <c:pt idx="8">
                    <c:v>Optimiertes Szenario, 40 Jahre Nutzung</c:v>
                  </c:pt>
                  <c:pt idx="9">
                    <c:v>Basis Szenario, 40 Jahre Nutzung</c:v>
                  </c:pt>
                </c:lvl>
                <c:lvl>
                  <c:pt idx="0">
                    <c:v>Holzschwelle</c:v>
                  </c:pt>
                  <c:pt idx="1">
                    <c:v>Holzschwelle</c:v>
                  </c:pt>
                  <c:pt idx="2">
                    <c:v>Holzschwelle</c:v>
                  </c:pt>
                  <c:pt idx="3">
                    <c:v>Betonschwelle</c:v>
                  </c:pt>
                  <c:pt idx="4">
                    <c:v>Betonschwelle</c:v>
                  </c:pt>
                  <c:pt idx="5">
                    <c:v>SICUT</c:v>
                  </c:pt>
                  <c:pt idx="6">
                    <c:v>SICUT</c:v>
                  </c:pt>
                  <c:pt idx="7">
                    <c:v>SICUT</c:v>
                  </c:pt>
                  <c:pt idx="8">
                    <c:v>SICUT</c:v>
                  </c:pt>
                  <c:pt idx="9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Overview!$B$56:$Q$56</c15:sqref>
                  </c15:fullRef>
                </c:ext>
              </c:extLst>
              <c:f>(Overview!$B$56:$D$56,Overview!$H$56:$I$56,Overview!$M$56:$Q$56)</c:f>
              <c:numCache>
                <c:formatCode>0.00E+00</c:formatCode>
                <c:ptCount val="10"/>
                <c:pt idx="0">
                  <c:v>6.8592474480267578E-12</c:v>
                </c:pt>
                <c:pt idx="1">
                  <c:v>7.0933901321224617E-12</c:v>
                </c:pt>
                <c:pt idx="2">
                  <c:v>6.4519299692779744E-12</c:v>
                </c:pt>
                <c:pt idx="3">
                  <c:v>5.0161690156317598E-12</c:v>
                </c:pt>
                <c:pt idx="4">
                  <c:v>4.2055247719081984E-12</c:v>
                </c:pt>
                <c:pt idx="5">
                  <c:v>1.4475231661724368E-11</c:v>
                </c:pt>
                <c:pt idx="6">
                  <c:v>4.0982271679204624E-12</c:v>
                </c:pt>
                <c:pt idx="7">
                  <c:v>2.732151445280308E-12</c:v>
                </c:pt>
                <c:pt idx="8">
                  <c:v>2.0491135839602312E-12</c:v>
                </c:pt>
                <c:pt idx="9">
                  <c:v>7.2376158308621838E-12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68-4C1B-84F6-BE1CB0E4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546440"/>
        <c:axId val="887546768"/>
      </c:barChart>
      <c:catAx>
        <c:axId val="88754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887546768"/>
        <c:crosses val="autoZero"/>
        <c:auto val="1"/>
        <c:lblAlgn val="ctr"/>
        <c:lblOffset val="100"/>
        <c:noMultiLvlLbl val="0"/>
      </c:catAx>
      <c:valAx>
        <c:axId val="887546768"/>
        <c:scaling>
          <c:orientation val="minMax"/>
          <c:max val="1.6000000000000009E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75464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28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Detaillierter Vergleich des Ressourcendrucks von Betonschwellen und SICUT-Schwellen mit gleicher Nutzungsdauer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Overview!$A$47</c:f>
              <c:strCache>
                <c:ptCount val="1"/>
                <c:pt idx="0">
                  <c:v>Hauptmaterial 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Overview!$B$47:$Q$47</c15:sqref>
                  </c15:fullRef>
                </c:ext>
              </c:extLst>
              <c:f>(Overview!$H$47:$I$47,Overview!$P$47:$Q$47)</c:f>
              <c:numCache>
                <c:formatCode>0.00E+00</c:formatCode>
                <c:ptCount val="4"/>
                <c:pt idx="0">
                  <c:v>2.5957924864401849E-12</c:v>
                </c:pt>
                <c:pt idx="1">
                  <c:v>2.1121044454885973E-12</c:v>
                </c:pt>
                <c:pt idx="2">
                  <c:v>5.017245321113834E-13</c:v>
                </c:pt>
                <c:pt idx="3">
                  <c:v>4.606743431204516E-12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1-4A81-8216-55A751149517}"/>
            </c:ext>
          </c:extLst>
        </c:ser>
        <c:ser>
          <c:idx val="1"/>
          <c:order val="1"/>
          <c:tx>
            <c:strRef>
              <c:f>Overview!$A$48</c:f>
              <c:strCache>
                <c:ptCount val="1"/>
                <c:pt idx="0">
                  <c:v>Hauptmaterial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Overview!$B$48:$Q$48</c15:sqref>
                  </c15:fullRef>
                </c:ext>
              </c:extLst>
              <c:f>(Overview!$H$48:$I$48,Overview!$P$48:$Q$48)</c:f>
              <c:numCache>
                <c:formatCode>General</c:formatCode>
                <c:ptCount val="4"/>
                <c:pt idx="0" formatCode="0.00E+00">
                  <c:v>1.5601221291383827E-14</c:v>
                </c:pt>
                <c:pt idx="1" formatCode="0.00E+00">
                  <c:v>2.7980451229112291E-15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1-4A81-8216-55A751149517}"/>
            </c:ext>
          </c:extLst>
        </c:ser>
        <c:ser>
          <c:idx val="2"/>
          <c:order val="2"/>
          <c:tx>
            <c:strRef>
              <c:f>Overview!$A$49</c:f>
              <c:strCache>
                <c:ptCount val="1"/>
                <c:pt idx="0">
                  <c:v>Bewehrung</c:v>
                </c:pt>
              </c:strCache>
            </c:strRef>
          </c:tx>
          <c:spPr>
            <a:solidFill>
              <a:srgbClr val="D07DE7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Overview!$B$49:$Q$49</c15:sqref>
                  </c15:fullRef>
                </c:ext>
              </c:extLst>
              <c:f>(Overview!$H$49:$I$49,Overview!$P$49:$Q$49)</c:f>
              <c:numCache>
                <c:formatCode>General</c:formatCode>
                <c:ptCount val="4"/>
                <c:pt idx="0" formatCode="0.00E+00">
                  <c:v>3.5753622136409879E-13</c:v>
                </c:pt>
                <c:pt idx="1" formatCode="0.00E+00">
                  <c:v>9.5150768588832769E-14</c:v>
                </c:pt>
                <c:pt idx="2" formatCode="0.00E+00">
                  <c:v>2.3895554196387878E-13</c:v>
                </c:pt>
                <c:pt idx="3" formatCode="0.00E+00">
                  <c:v>1.3224388897726983E-12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1-4A81-8216-55A751149517}"/>
            </c:ext>
          </c:extLst>
        </c:ser>
        <c:ser>
          <c:idx val="3"/>
          <c:order val="3"/>
          <c:tx>
            <c:strRef>
              <c:f>Overview!$A$50</c:f>
              <c:strCache>
                <c:ptCount val="1"/>
                <c:pt idx="0">
                  <c:v>Form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Overview!$B$50:$Q$50</c15:sqref>
                  </c15:fullRef>
                </c:ext>
              </c:extLst>
              <c:f>(Overview!$H$50:$I$50,Overview!$P$50:$Q$50)</c:f>
              <c:numCache>
                <c:formatCode>0.00E+00</c:formatCode>
                <c:ptCount val="4"/>
                <c:pt idx="0">
                  <c:v>1.1388866242211697E-12</c:v>
                </c:pt>
                <c:pt idx="1">
                  <c:v>1.0871190503929348E-12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61-4A81-8216-55A751149517}"/>
            </c:ext>
          </c:extLst>
        </c:ser>
        <c:ser>
          <c:idx val="4"/>
          <c:order val="4"/>
          <c:tx>
            <c:strRef>
              <c:f>Overview!$A$51</c:f>
              <c:strCache>
                <c:ptCount val="1"/>
                <c:pt idx="0">
                  <c:v>Chemikalien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Overview!$B$51:$Q$51</c15:sqref>
                  </c15:fullRef>
                </c:ext>
              </c:extLst>
              <c:f>(Overview!$H$51:$I$51,Overview!$P$51:$Q$51)</c:f>
              <c:numCache>
                <c:formatCode>0.00E+00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4161-4A81-8216-55A751149517}"/>
            </c:ext>
          </c:extLst>
        </c:ser>
        <c:ser>
          <c:idx val="5"/>
          <c:order val="5"/>
          <c:tx>
            <c:strRef>
              <c:f>Overview!$A$52</c:f>
              <c:strCache>
                <c:ptCount val="1"/>
                <c:pt idx="0">
                  <c:v>Elektrizität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Overview!$B$52:$Q$52</c15:sqref>
                  </c15:fullRef>
                </c:ext>
              </c:extLst>
              <c:f>(Overview!$H$52:$I$52,Overview!$P$52:$Q$52)</c:f>
              <c:numCache>
                <c:formatCode>0.00E+00</c:formatCode>
                <c:ptCount val="4"/>
                <c:pt idx="0">
                  <c:v>8.8357249882803691E-13</c:v>
                </c:pt>
                <c:pt idx="1">
                  <c:v>8.8357249882803691E-13</c:v>
                </c:pt>
                <c:pt idx="2">
                  <c:v>1.2025331679828451E-12</c:v>
                </c:pt>
                <c:pt idx="3">
                  <c:v>1.2025331679828451E-12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61-4A81-8216-55A751149517}"/>
            </c:ext>
          </c:extLst>
        </c:ser>
        <c:ser>
          <c:idx val="6"/>
          <c:order val="6"/>
          <c:tx>
            <c:strRef>
              <c:f>Overview!$A$53</c:f>
              <c:strCache>
                <c:ptCount val="1"/>
                <c:pt idx="0">
                  <c:v>Wärme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Overview!$B$53:$Q$53</c15:sqref>
                  </c15:fullRef>
                </c:ext>
              </c:extLst>
              <c:f>(Overview!$H$53:$I$53,Overview!$P$53:$Q$53)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7.7340383985036099E-14</c:v>
                </c:pt>
                <c:pt idx="3">
                  <c:v>7.7340383985036099E-14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61-4A81-8216-55A751149517}"/>
            </c:ext>
          </c:extLst>
        </c:ser>
        <c:ser>
          <c:idx val="7"/>
          <c:order val="7"/>
          <c:tx>
            <c:strRef>
              <c:f>Overview!$A$54</c:f>
              <c:strCache>
                <c:ptCount val="1"/>
                <c:pt idx="0">
                  <c:v>Landtransport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Overview!$B$54:$Q$54</c15:sqref>
                  </c15:fullRef>
                </c:ext>
              </c:extLst>
              <c:f>(Overview!$H$54:$I$54,Overview!$P$54:$Q$54)</c:f>
              <c:numCache>
                <c:formatCode>0.00E+00</c:formatCode>
                <c:ptCount val="4"/>
                <c:pt idx="0">
                  <c:v>2.4779963486885042E-14</c:v>
                </c:pt>
                <c:pt idx="1">
                  <c:v>2.4779963486885042E-14</c:v>
                </c:pt>
                <c:pt idx="2">
                  <c:v>2.8559957917087849E-14</c:v>
                </c:pt>
                <c:pt idx="3">
                  <c:v>2.8559957917087849E-14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61-4A81-8216-55A751149517}"/>
            </c:ext>
          </c:extLst>
        </c:ser>
        <c:ser>
          <c:idx val="8"/>
          <c:order val="8"/>
          <c:tx>
            <c:strRef>
              <c:f>Overview!$A$55</c:f>
              <c:strCache>
                <c:ptCount val="1"/>
                <c:pt idx="0">
                  <c:v>Auslandtransport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Overview!$B$55:$Q$55</c15:sqref>
                  </c15:fullRef>
                </c:ext>
              </c:extLst>
              <c:f>(Overview!$H$55:$I$55,Overview!$P$55:$Q$55)</c:f>
              <c:numCache>
                <c:formatCode>0.00E+00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61-4A81-8216-55A751149517}"/>
            </c:ext>
          </c:extLst>
        </c:ser>
        <c:ser>
          <c:idx val="9"/>
          <c:order val="9"/>
          <c:tx>
            <c:strRef>
              <c:f>Overview!$A$56</c:f>
              <c:strCache>
                <c:ptCount val="1"/>
                <c:pt idx="0">
                  <c:v>ressource pressure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Overview!$B$45:$Q$46</c15:sqref>
                  </c15:fullRef>
                </c:ext>
              </c:extLst>
              <c:f>Overview!$H$45:$Q$46</c:f>
              <c:multiLvlStrCache>
                <c:ptCount val="4"/>
                <c:lvl>
                  <c:pt idx="0">
                    <c:v>Basis Senario, 40 Jahre Nutzung</c:v>
                  </c:pt>
                  <c:pt idx="1">
                    <c:v>Optimiertes Szenario, 40 Jahre Nutzung</c:v>
                  </c:pt>
                  <c:pt idx="2">
                    <c:v>Optimiertes Szenario, 40 Jahre Nutzung</c:v>
                  </c:pt>
                  <c:pt idx="3">
                    <c:v>Basis Szenario, 40 Jahre Nutzung</c:v>
                  </c:pt>
                </c:lvl>
                <c:lvl>
                  <c:pt idx="0">
                    <c:v>Betonschwelle</c:v>
                  </c:pt>
                  <c:pt idx="1">
                    <c:v>Betonschwelle</c:v>
                  </c:pt>
                  <c:pt idx="2">
                    <c:v>SICUT</c:v>
                  </c:pt>
                  <c:pt idx="3">
                    <c:v>SICUT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Overview!$B$56:$Q$56</c15:sqref>
                  </c15:fullRef>
                </c:ext>
              </c:extLst>
              <c:f>(Overview!$H$56:$I$56,Overview!$P$56:$Q$56)</c:f>
              <c:numCache>
                <c:formatCode>0.00E+00</c:formatCode>
                <c:ptCount val="4"/>
                <c:pt idx="0">
                  <c:v>5.0161690156317598E-12</c:v>
                </c:pt>
                <c:pt idx="1">
                  <c:v>4.2055247719081984E-12</c:v>
                </c:pt>
                <c:pt idx="2">
                  <c:v>2.0491135839602312E-12</c:v>
                </c:pt>
                <c:pt idx="3">
                  <c:v>7.2376158308621838E-12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61-4A81-8216-55A751149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546440"/>
        <c:axId val="887546768"/>
      </c:barChart>
      <c:catAx>
        <c:axId val="88754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887546768"/>
        <c:crosses val="autoZero"/>
        <c:auto val="1"/>
        <c:lblAlgn val="ctr"/>
        <c:lblOffset val="100"/>
        <c:noMultiLvlLbl val="0"/>
      </c:catAx>
      <c:valAx>
        <c:axId val="887546768"/>
        <c:scaling>
          <c:orientation val="minMax"/>
          <c:max val="6.0000000000000035E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75464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178714</xdr:rowOff>
    </xdr:from>
    <xdr:to>
      <xdr:col>31</xdr:col>
      <xdr:colOff>0</xdr:colOff>
      <xdr:row>38</xdr:row>
      <xdr:rowOff>17162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419103</xdr:colOff>
      <xdr:row>43</xdr:row>
      <xdr:rowOff>95249</xdr:rowOff>
    </xdr:from>
    <xdr:to>
      <xdr:col>35</xdr:col>
      <xdr:colOff>680357</xdr:colOff>
      <xdr:row>84</xdr:row>
      <xdr:rowOff>29120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6EF3C-A98F-40E4-A17F-8B1AB0C1B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530678</xdr:colOff>
      <xdr:row>87</xdr:row>
      <xdr:rowOff>136071</xdr:rowOff>
    </xdr:from>
    <xdr:to>
      <xdr:col>33</xdr:col>
      <xdr:colOff>665659</xdr:colOff>
      <xdr:row>128</xdr:row>
      <xdr:rowOff>93346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B9A431-7ED2-4576-A749-BE5B168D4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148481</xdr:colOff>
      <xdr:row>22</xdr:row>
      <xdr:rowOff>32040</xdr:rowOff>
    </xdr:from>
    <xdr:to>
      <xdr:col>1</xdr:col>
      <xdr:colOff>429884</xdr:colOff>
      <xdr:row>23</xdr:row>
      <xdr:rowOff>154165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1231" y="4108740"/>
          <a:ext cx="283308" cy="310084"/>
        </a:xfrm>
        <a:prstGeom prst="rect">
          <a:avLst/>
        </a:prstGeom>
      </xdr:spPr>
    </xdr:pic>
    <xdr:clientData/>
  </xdr:twoCellAnchor>
  <xdr:twoCellAnchor>
    <xdr:from>
      <xdr:col>1</xdr:col>
      <xdr:colOff>33215</xdr:colOff>
      <xdr:row>26</xdr:row>
      <xdr:rowOff>80108</xdr:rowOff>
    </xdr:from>
    <xdr:to>
      <xdr:col>1</xdr:col>
      <xdr:colOff>385996</xdr:colOff>
      <xdr:row>28</xdr:row>
      <xdr:rowOff>58614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/>
        </xdr:cNvSpPr>
      </xdr:nvSpPr>
      <xdr:spPr bwMode="auto">
        <a:xfrm>
          <a:off x="445965" y="489340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26</xdr:row>
      <xdr:rowOff>123093</xdr:rowOff>
    </xdr:from>
    <xdr:to>
      <xdr:col>1</xdr:col>
      <xdr:colOff>351691</xdr:colOff>
      <xdr:row>27</xdr:row>
      <xdr:rowOff>84015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 bwMode="auto">
        <a:xfrm>
          <a:off x="488682" y="493639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27</xdr:row>
      <xdr:rowOff>119185</xdr:rowOff>
    </xdr:from>
    <xdr:to>
      <xdr:col>1</xdr:col>
      <xdr:colOff>513862</xdr:colOff>
      <xdr:row>28</xdr:row>
      <xdr:rowOff>56752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817041" y="511663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36</xdr:row>
      <xdr:rowOff>24422</xdr:rowOff>
    </xdr:from>
    <xdr:to>
      <xdr:col>1</xdr:col>
      <xdr:colOff>435819</xdr:colOff>
      <xdr:row>38</xdr:row>
      <xdr:rowOff>2927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 bwMode="auto">
        <a:xfrm>
          <a:off x="495788" y="667922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36</xdr:row>
      <xdr:rowOff>67407</xdr:rowOff>
    </xdr:from>
    <xdr:to>
      <xdr:col>1</xdr:col>
      <xdr:colOff>401514</xdr:colOff>
      <xdr:row>37</xdr:row>
      <xdr:rowOff>28328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 bwMode="auto">
        <a:xfrm>
          <a:off x="538505" y="672220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37</xdr:row>
      <xdr:rowOff>21683</xdr:rowOff>
    </xdr:from>
    <xdr:to>
      <xdr:col>1</xdr:col>
      <xdr:colOff>537785</xdr:colOff>
      <xdr:row>38</xdr:row>
      <xdr:rowOff>89528</xdr:rowOff>
    </xdr:to>
    <xdr:sp macro="" textlink="">
      <xdr:nvSpPr>
        <xdr:cNvPr id="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 noEditPoints="1"/>
        </xdr:cNvSpPr>
      </xdr:nvSpPr>
      <xdr:spPr bwMode="auto">
        <a:xfrm>
          <a:off x="685336" y="686063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31</xdr:row>
      <xdr:rowOff>97693</xdr:rowOff>
    </xdr:from>
    <xdr:to>
      <xdr:col>1</xdr:col>
      <xdr:colOff>270764</xdr:colOff>
      <xdr:row>32</xdr:row>
      <xdr:rowOff>35260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 bwMode="auto">
        <a:xfrm>
          <a:off x="573943" y="583174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31</xdr:row>
      <xdr:rowOff>87923</xdr:rowOff>
    </xdr:from>
    <xdr:to>
      <xdr:col>1</xdr:col>
      <xdr:colOff>499660</xdr:colOff>
      <xdr:row>32</xdr:row>
      <xdr:rowOff>155768</xdr:rowOff>
    </xdr:to>
    <xdr:sp macro="" textlink="">
      <xdr:nvSpPr>
        <xdr:cNvPr id="1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spect="1" noEditPoints="1"/>
        </xdr:cNvSpPr>
      </xdr:nvSpPr>
      <xdr:spPr bwMode="auto">
        <a:xfrm>
          <a:off x="647211" y="582197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40</xdr:row>
      <xdr:rowOff>151423</xdr:rowOff>
    </xdr:from>
    <xdr:to>
      <xdr:col>1</xdr:col>
      <xdr:colOff>411737</xdr:colOff>
      <xdr:row>42</xdr:row>
      <xdr:rowOff>33652</xdr:rowOff>
    </xdr:to>
    <xdr:sp macro="" textlink="">
      <xdr:nvSpPr>
        <xdr:cNvPr id="1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spect="1" noEditPoints="1"/>
        </xdr:cNvSpPr>
      </xdr:nvSpPr>
      <xdr:spPr bwMode="auto">
        <a:xfrm>
          <a:off x="559288" y="754282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115</xdr:row>
      <xdr:rowOff>113861</xdr:rowOff>
    </xdr:from>
    <xdr:to>
      <xdr:col>1</xdr:col>
      <xdr:colOff>451070</xdr:colOff>
      <xdr:row>117</xdr:row>
      <xdr:rowOff>0</xdr:rowOff>
    </xdr:to>
    <xdr:grpSp>
      <xdr:nvGrpSpPr>
        <xdr:cNvPr id="22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>
          <a:grpSpLocks noChangeAspect="1"/>
        </xdr:cNvGrpSpPr>
      </xdr:nvGrpSpPr>
      <xdr:grpSpPr>
        <a:xfrm>
          <a:off x="574395" y="21101991"/>
          <a:ext cx="297183" cy="250574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" name="Freeform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118</xdr:row>
      <xdr:rowOff>0</xdr:rowOff>
    </xdr:from>
    <xdr:to>
      <xdr:col>1</xdr:col>
      <xdr:colOff>427233</xdr:colOff>
      <xdr:row>119</xdr:row>
      <xdr:rowOff>35505</xdr:rowOff>
    </xdr:to>
    <xdr:sp macro="" textlink="">
      <xdr:nvSpPr>
        <xdr:cNvPr id="47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spect="1" noEditPoints="1"/>
        </xdr:cNvSpPr>
      </xdr:nvSpPr>
      <xdr:spPr bwMode="auto">
        <a:xfrm>
          <a:off x="574784" y="269113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131</xdr:row>
      <xdr:rowOff>113861</xdr:rowOff>
    </xdr:from>
    <xdr:to>
      <xdr:col>1</xdr:col>
      <xdr:colOff>451070</xdr:colOff>
      <xdr:row>133</xdr:row>
      <xdr:rowOff>0</xdr:rowOff>
    </xdr:to>
    <xdr:grpSp>
      <xdr:nvGrpSpPr>
        <xdr:cNvPr id="48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pSpPr>
          <a:grpSpLocks noChangeAspect="1"/>
        </xdr:cNvGrpSpPr>
      </xdr:nvGrpSpPr>
      <xdr:grpSpPr>
        <a:xfrm>
          <a:off x="574395" y="24017470"/>
          <a:ext cx="297183" cy="250573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3" name="Freeform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2" name="Freeform 71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133</xdr:row>
      <xdr:rowOff>0</xdr:rowOff>
    </xdr:from>
    <xdr:to>
      <xdr:col>1</xdr:col>
      <xdr:colOff>427233</xdr:colOff>
      <xdr:row>134</xdr:row>
      <xdr:rowOff>35505</xdr:rowOff>
    </xdr:to>
    <xdr:sp macro="" textlink="">
      <xdr:nvSpPr>
        <xdr:cNvPr id="73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spect="1" noEditPoints="1"/>
        </xdr:cNvSpPr>
      </xdr:nvSpPr>
      <xdr:spPr bwMode="auto">
        <a:xfrm>
          <a:off x="574784" y="296672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145</xdr:row>
      <xdr:rowOff>113861</xdr:rowOff>
    </xdr:from>
    <xdr:to>
      <xdr:col>1</xdr:col>
      <xdr:colOff>451070</xdr:colOff>
      <xdr:row>147</xdr:row>
      <xdr:rowOff>0</xdr:rowOff>
    </xdr:to>
    <xdr:grpSp>
      <xdr:nvGrpSpPr>
        <xdr:cNvPr id="74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GrpSpPr>
          <a:grpSpLocks noChangeAspect="1"/>
        </xdr:cNvGrpSpPr>
      </xdr:nvGrpSpPr>
      <xdr:grpSpPr>
        <a:xfrm>
          <a:off x="574395" y="26568513"/>
          <a:ext cx="297183" cy="250574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3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00000000-0008-0000-03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3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00000000-0008-0000-0300-00005D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5" name="Freeform 94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6" name="Freeform 95">
            <a:extLst>
              <a:ext uri="{FF2B5EF4-FFF2-40B4-BE49-F238E27FC236}">
                <a16:creationId xmlns:a16="http://schemas.microsoft.com/office/drawing/2014/main" id="{00000000-0008-0000-0300-000060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00000000-0008-0000-0300-000061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00000000-0008-0000-0300-000062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</xdr:col>
      <xdr:colOff>109481</xdr:colOff>
      <xdr:row>159</xdr:row>
      <xdr:rowOff>114447</xdr:rowOff>
    </xdr:from>
    <xdr:to>
      <xdr:col>1</xdr:col>
      <xdr:colOff>465738</xdr:colOff>
      <xdr:row>161</xdr:row>
      <xdr:rowOff>46636</xdr:rowOff>
    </xdr:to>
    <xdr:pic>
      <xdr:nvPicPr>
        <xdr:cNvPr id="100" name="Picture 99" descr="Shopping Cart Icon Vector Art, Icons, and Graphics for Free Download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4" t="14023" r="8811" b="12568"/>
        <a:stretch/>
      </xdr:blipFill>
      <xdr:spPr bwMode="auto">
        <a:xfrm rot="10800000" flipV="1">
          <a:off x="522231" y="34569547"/>
          <a:ext cx="358162" cy="298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33215</xdr:colOff>
      <xdr:row>82</xdr:row>
      <xdr:rowOff>80108</xdr:rowOff>
    </xdr:from>
    <xdr:to>
      <xdr:col>1</xdr:col>
      <xdr:colOff>385996</xdr:colOff>
      <xdr:row>84</xdr:row>
      <xdr:rowOff>58614</xdr:rowOff>
    </xdr:to>
    <xdr:sp macro="" textlink="">
      <xdr:nvSpPr>
        <xdr:cNvPr id="111" name="Freeform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/>
        </xdr:cNvSpPr>
      </xdr:nvSpPr>
      <xdr:spPr bwMode="auto">
        <a:xfrm>
          <a:off x="445965" y="2036200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82</xdr:row>
      <xdr:rowOff>123093</xdr:rowOff>
    </xdr:from>
    <xdr:to>
      <xdr:col>1</xdr:col>
      <xdr:colOff>351691</xdr:colOff>
      <xdr:row>83</xdr:row>
      <xdr:rowOff>84015</xdr:rowOff>
    </xdr:to>
    <xdr:sp macro="" textlink="">
      <xdr:nvSpPr>
        <xdr:cNvPr id="112" name="Freeform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/>
        </xdr:cNvSpPr>
      </xdr:nvSpPr>
      <xdr:spPr bwMode="auto">
        <a:xfrm>
          <a:off x="488682" y="2040499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83</xdr:row>
      <xdr:rowOff>119185</xdr:rowOff>
    </xdr:from>
    <xdr:to>
      <xdr:col>1</xdr:col>
      <xdr:colOff>513862</xdr:colOff>
      <xdr:row>84</xdr:row>
      <xdr:rowOff>56752</xdr:rowOff>
    </xdr:to>
    <xdr:sp macro="" textlink="">
      <xdr:nvSpPr>
        <xdr:cNvPr id="113" name="Freeform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/>
        </xdr:cNvSpPr>
      </xdr:nvSpPr>
      <xdr:spPr bwMode="auto">
        <a:xfrm>
          <a:off x="817041" y="2058523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92</xdr:row>
      <xdr:rowOff>24422</xdr:rowOff>
    </xdr:from>
    <xdr:to>
      <xdr:col>1</xdr:col>
      <xdr:colOff>435819</xdr:colOff>
      <xdr:row>94</xdr:row>
      <xdr:rowOff>2927</xdr:rowOff>
    </xdr:to>
    <xdr:sp macro="" textlink="">
      <xdr:nvSpPr>
        <xdr:cNvPr id="114" name="Freeform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/>
        </xdr:cNvSpPr>
      </xdr:nvSpPr>
      <xdr:spPr bwMode="auto">
        <a:xfrm>
          <a:off x="495788" y="2214782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92</xdr:row>
      <xdr:rowOff>67407</xdr:rowOff>
    </xdr:from>
    <xdr:to>
      <xdr:col>1</xdr:col>
      <xdr:colOff>401514</xdr:colOff>
      <xdr:row>93</xdr:row>
      <xdr:rowOff>28328</xdr:rowOff>
    </xdr:to>
    <xdr:sp macro="" textlink="">
      <xdr:nvSpPr>
        <xdr:cNvPr id="115" name="Freeform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/>
        </xdr:cNvSpPr>
      </xdr:nvSpPr>
      <xdr:spPr bwMode="auto">
        <a:xfrm>
          <a:off x="538505" y="2219080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93</xdr:row>
      <xdr:rowOff>21683</xdr:rowOff>
    </xdr:from>
    <xdr:to>
      <xdr:col>1</xdr:col>
      <xdr:colOff>537785</xdr:colOff>
      <xdr:row>94</xdr:row>
      <xdr:rowOff>89528</xdr:rowOff>
    </xdr:to>
    <xdr:sp macro="" textlink="">
      <xdr:nvSpPr>
        <xdr:cNvPr id="116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spect="1" noEditPoints="1"/>
        </xdr:cNvSpPr>
      </xdr:nvSpPr>
      <xdr:spPr bwMode="auto">
        <a:xfrm>
          <a:off x="685336" y="2232923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87</xdr:row>
      <xdr:rowOff>97693</xdr:rowOff>
    </xdr:from>
    <xdr:to>
      <xdr:col>1</xdr:col>
      <xdr:colOff>270764</xdr:colOff>
      <xdr:row>88</xdr:row>
      <xdr:rowOff>35260</xdr:rowOff>
    </xdr:to>
    <xdr:sp macro="" textlink="">
      <xdr:nvSpPr>
        <xdr:cNvPr id="117" name="Freeform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/>
        </xdr:cNvSpPr>
      </xdr:nvSpPr>
      <xdr:spPr bwMode="auto">
        <a:xfrm>
          <a:off x="573943" y="2130034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87</xdr:row>
      <xdr:rowOff>87923</xdr:rowOff>
    </xdr:from>
    <xdr:to>
      <xdr:col>1</xdr:col>
      <xdr:colOff>499660</xdr:colOff>
      <xdr:row>88</xdr:row>
      <xdr:rowOff>155768</xdr:rowOff>
    </xdr:to>
    <xdr:sp macro="" textlink="">
      <xdr:nvSpPr>
        <xdr:cNvPr id="11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spect="1" noEditPoints="1"/>
        </xdr:cNvSpPr>
      </xdr:nvSpPr>
      <xdr:spPr bwMode="auto">
        <a:xfrm>
          <a:off x="647211" y="2129057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96</xdr:row>
      <xdr:rowOff>151423</xdr:rowOff>
    </xdr:from>
    <xdr:to>
      <xdr:col>1</xdr:col>
      <xdr:colOff>411737</xdr:colOff>
      <xdr:row>98</xdr:row>
      <xdr:rowOff>33652</xdr:rowOff>
    </xdr:to>
    <xdr:sp macro="" textlink="">
      <xdr:nvSpPr>
        <xdr:cNvPr id="119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spect="1" noEditPoints="1"/>
        </xdr:cNvSpPr>
      </xdr:nvSpPr>
      <xdr:spPr bwMode="auto">
        <a:xfrm>
          <a:off x="559288" y="2301142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156308</xdr:colOff>
      <xdr:row>78</xdr:row>
      <xdr:rowOff>39077</xdr:rowOff>
    </xdr:from>
    <xdr:ext cx="283308" cy="31066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9058" y="19584377"/>
          <a:ext cx="283308" cy="31066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0</xdr:rowOff>
    </xdr:from>
    <xdr:to>
      <xdr:col>2</xdr:col>
      <xdr:colOff>2002117</xdr:colOff>
      <xdr:row>14</xdr:row>
      <xdr:rowOff>152250</xdr:rowOff>
    </xdr:to>
    <xdr:pic>
      <xdr:nvPicPr>
        <xdr:cNvPr id="121" name="Picture 120" descr="Wood Sleeper Images – Browse 5,393 Stock Photos, Vectors, and Video | Adobe  Stock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059"/>
          <a:ext cx="2988235" cy="2021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148481</xdr:colOff>
      <xdr:row>50</xdr:row>
      <xdr:rowOff>32040</xdr:rowOff>
    </xdr:from>
    <xdr:ext cx="283308" cy="307363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5767" y="3696897"/>
          <a:ext cx="283308" cy="307363"/>
        </a:xfrm>
        <a:prstGeom prst="rect">
          <a:avLst/>
        </a:prstGeom>
      </xdr:spPr>
    </xdr:pic>
    <xdr:clientData/>
  </xdr:oneCellAnchor>
  <xdr:twoCellAnchor>
    <xdr:from>
      <xdr:col>1</xdr:col>
      <xdr:colOff>33215</xdr:colOff>
      <xdr:row>54</xdr:row>
      <xdr:rowOff>80108</xdr:rowOff>
    </xdr:from>
    <xdr:to>
      <xdr:col>1</xdr:col>
      <xdr:colOff>385996</xdr:colOff>
      <xdr:row>56</xdr:row>
      <xdr:rowOff>58614</xdr:rowOff>
    </xdr:to>
    <xdr:sp macro="" textlink="">
      <xdr:nvSpPr>
        <xdr:cNvPr id="123" name="Freeform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/>
        </xdr:cNvSpPr>
      </xdr:nvSpPr>
      <xdr:spPr bwMode="auto">
        <a:xfrm>
          <a:off x="450501" y="4470679"/>
          <a:ext cx="352781" cy="341364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54</xdr:row>
      <xdr:rowOff>123093</xdr:rowOff>
    </xdr:from>
    <xdr:to>
      <xdr:col>1</xdr:col>
      <xdr:colOff>351691</xdr:colOff>
      <xdr:row>55</xdr:row>
      <xdr:rowOff>84015</xdr:rowOff>
    </xdr:to>
    <xdr:sp macro="" textlink="">
      <xdr:nvSpPr>
        <xdr:cNvPr id="124" name="Freeform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/>
        </xdr:cNvSpPr>
      </xdr:nvSpPr>
      <xdr:spPr bwMode="auto">
        <a:xfrm>
          <a:off x="493218" y="4513664"/>
          <a:ext cx="275759" cy="14235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55</xdr:row>
      <xdr:rowOff>119185</xdr:rowOff>
    </xdr:from>
    <xdr:to>
      <xdr:col>1</xdr:col>
      <xdr:colOff>513862</xdr:colOff>
      <xdr:row>56</xdr:row>
      <xdr:rowOff>56752</xdr:rowOff>
    </xdr:to>
    <xdr:sp macro="" textlink="">
      <xdr:nvSpPr>
        <xdr:cNvPr id="125" name="Freeform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/>
        </xdr:cNvSpPr>
      </xdr:nvSpPr>
      <xdr:spPr bwMode="auto">
        <a:xfrm>
          <a:off x="821577" y="4691185"/>
          <a:ext cx="109571" cy="11899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64</xdr:row>
      <xdr:rowOff>24422</xdr:rowOff>
    </xdr:from>
    <xdr:to>
      <xdr:col>1</xdr:col>
      <xdr:colOff>435819</xdr:colOff>
      <xdr:row>66</xdr:row>
      <xdr:rowOff>2927</xdr:rowOff>
    </xdr:to>
    <xdr:sp macro="" textlink="">
      <xdr:nvSpPr>
        <xdr:cNvPr id="126" name="Freeform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/>
        </xdr:cNvSpPr>
      </xdr:nvSpPr>
      <xdr:spPr bwMode="auto">
        <a:xfrm>
          <a:off x="500324" y="6229279"/>
          <a:ext cx="352781" cy="341362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64</xdr:row>
      <xdr:rowOff>67407</xdr:rowOff>
    </xdr:from>
    <xdr:to>
      <xdr:col>1</xdr:col>
      <xdr:colOff>401514</xdr:colOff>
      <xdr:row>65</xdr:row>
      <xdr:rowOff>28328</xdr:rowOff>
    </xdr:to>
    <xdr:sp macro="" textlink="">
      <xdr:nvSpPr>
        <xdr:cNvPr id="127" name="Freeform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/>
        </xdr:cNvSpPr>
      </xdr:nvSpPr>
      <xdr:spPr bwMode="auto">
        <a:xfrm>
          <a:off x="543041" y="6272264"/>
          <a:ext cx="275759" cy="142350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65</xdr:row>
      <xdr:rowOff>21683</xdr:rowOff>
    </xdr:from>
    <xdr:to>
      <xdr:col>1</xdr:col>
      <xdr:colOff>537785</xdr:colOff>
      <xdr:row>66</xdr:row>
      <xdr:rowOff>89528</xdr:rowOff>
    </xdr:to>
    <xdr:sp macro="" textlink="">
      <xdr:nvSpPr>
        <xdr:cNvPr id="12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spect="1" noEditPoints="1"/>
        </xdr:cNvSpPr>
      </xdr:nvSpPr>
      <xdr:spPr bwMode="auto">
        <a:xfrm>
          <a:off x="689872" y="6407969"/>
          <a:ext cx="265199" cy="249273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59</xdr:row>
      <xdr:rowOff>97693</xdr:rowOff>
    </xdr:from>
    <xdr:to>
      <xdr:col>1</xdr:col>
      <xdr:colOff>270764</xdr:colOff>
      <xdr:row>60</xdr:row>
      <xdr:rowOff>35260</xdr:rowOff>
    </xdr:to>
    <xdr:sp macro="" textlink="">
      <xdr:nvSpPr>
        <xdr:cNvPr id="129" name="Freeform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/>
        </xdr:cNvSpPr>
      </xdr:nvSpPr>
      <xdr:spPr bwMode="auto">
        <a:xfrm>
          <a:off x="578479" y="5395407"/>
          <a:ext cx="109571" cy="11899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59</xdr:row>
      <xdr:rowOff>87923</xdr:rowOff>
    </xdr:from>
    <xdr:to>
      <xdr:col>1</xdr:col>
      <xdr:colOff>499660</xdr:colOff>
      <xdr:row>60</xdr:row>
      <xdr:rowOff>155768</xdr:rowOff>
    </xdr:to>
    <xdr:sp macro="" textlink="">
      <xdr:nvSpPr>
        <xdr:cNvPr id="13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spect="1" noEditPoints="1"/>
        </xdr:cNvSpPr>
      </xdr:nvSpPr>
      <xdr:spPr bwMode="auto">
        <a:xfrm>
          <a:off x="651747" y="5385637"/>
          <a:ext cx="265199" cy="249274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68</xdr:row>
      <xdr:rowOff>151423</xdr:rowOff>
    </xdr:from>
    <xdr:to>
      <xdr:col>1</xdr:col>
      <xdr:colOff>411737</xdr:colOff>
      <xdr:row>70</xdr:row>
      <xdr:rowOff>33652</xdr:rowOff>
    </xdr:to>
    <xdr:sp macro="" textlink="">
      <xdr:nvSpPr>
        <xdr:cNvPr id="13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spect="1" noEditPoints="1"/>
        </xdr:cNvSpPr>
      </xdr:nvSpPr>
      <xdr:spPr bwMode="auto">
        <a:xfrm>
          <a:off x="563824" y="7081994"/>
          <a:ext cx="265199" cy="245087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148481</xdr:colOff>
      <xdr:row>23</xdr:row>
      <xdr:rowOff>32040</xdr:rowOff>
    </xdr:from>
    <xdr:to>
      <xdr:col>1</xdr:col>
      <xdr:colOff>429884</xdr:colOff>
      <xdr:row>24</xdr:row>
      <xdr:rowOff>154165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1231" y="3740440"/>
          <a:ext cx="283308" cy="310084"/>
        </a:xfrm>
        <a:prstGeom prst="rect">
          <a:avLst/>
        </a:prstGeom>
      </xdr:spPr>
    </xdr:pic>
    <xdr:clientData/>
  </xdr:twoCellAnchor>
  <xdr:twoCellAnchor>
    <xdr:from>
      <xdr:col>1</xdr:col>
      <xdr:colOff>33215</xdr:colOff>
      <xdr:row>27</xdr:row>
      <xdr:rowOff>80108</xdr:rowOff>
    </xdr:from>
    <xdr:to>
      <xdr:col>1</xdr:col>
      <xdr:colOff>385996</xdr:colOff>
      <xdr:row>29</xdr:row>
      <xdr:rowOff>58614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 bwMode="auto">
        <a:xfrm>
          <a:off x="445965" y="452510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27</xdr:row>
      <xdr:rowOff>123093</xdr:rowOff>
    </xdr:from>
    <xdr:to>
      <xdr:col>1</xdr:col>
      <xdr:colOff>351691</xdr:colOff>
      <xdr:row>28</xdr:row>
      <xdr:rowOff>84015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/>
        </xdr:cNvSpPr>
      </xdr:nvSpPr>
      <xdr:spPr bwMode="auto">
        <a:xfrm>
          <a:off x="488682" y="456809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28</xdr:row>
      <xdr:rowOff>119185</xdr:rowOff>
    </xdr:from>
    <xdr:to>
      <xdr:col>1</xdr:col>
      <xdr:colOff>513862</xdr:colOff>
      <xdr:row>29</xdr:row>
      <xdr:rowOff>56752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/>
        </xdr:cNvSpPr>
      </xdr:nvSpPr>
      <xdr:spPr bwMode="auto">
        <a:xfrm>
          <a:off x="817041" y="474833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37</xdr:row>
      <xdr:rowOff>24422</xdr:rowOff>
    </xdr:from>
    <xdr:to>
      <xdr:col>1</xdr:col>
      <xdr:colOff>435819</xdr:colOff>
      <xdr:row>39</xdr:row>
      <xdr:rowOff>2927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495788" y="631092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37</xdr:row>
      <xdr:rowOff>67407</xdr:rowOff>
    </xdr:from>
    <xdr:to>
      <xdr:col>1</xdr:col>
      <xdr:colOff>401514</xdr:colOff>
      <xdr:row>38</xdr:row>
      <xdr:rowOff>28328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/>
        </xdr:cNvSpPr>
      </xdr:nvSpPr>
      <xdr:spPr bwMode="auto">
        <a:xfrm>
          <a:off x="538505" y="635390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38</xdr:row>
      <xdr:rowOff>21683</xdr:rowOff>
    </xdr:from>
    <xdr:to>
      <xdr:col>1</xdr:col>
      <xdr:colOff>537785</xdr:colOff>
      <xdr:row>39</xdr:row>
      <xdr:rowOff>89528</xdr:rowOff>
    </xdr:to>
    <xdr:sp macro="" textlink="">
      <xdr:nvSpPr>
        <xdr:cNvPr id="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EditPoints="1"/>
        </xdr:cNvSpPr>
      </xdr:nvSpPr>
      <xdr:spPr bwMode="auto">
        <a:xfrm>
          <a:off x="685336" y="649233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32</xdr:row>
      <xdr:rowOff>97693</xdr:rowOff>
    </xdr:from>
    <xdr:to>
      <xdr:col>1</xdr:col>
      <xdr:colOff>270764</xdr:colOff>
      <xdr:row>33</xdr:row>
      <xdr:rowOff>35260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/>
        </xdr:cNvSpPr>
      </xdr:nvSpPr>
      <xdr:spPr bwMode="auto">
        <a:xfrm>
          <a:off x="573943" y="546344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32</xdr:row>
      <xdr:rowOff>87923</xdr:rowOff>
    </xdr:from>
    <xdr:to>
      <xdr:col>1</xdr:col>
      <xdr:colOff>499660</xdr:colOff>
      <xdr:row>33</xdr:row>
      <xdr:rowOff>155768</xdr:rowOff>
    </xdr:to>
    <xdr:sp macro="" textlink="">
      <xdr:nvSpPr>
        <xdr:cNvPr id="1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EditPoints="1"/>
        </xdr:cNvSpPr>
      </xdr:nvSpPr>
      <xdr:spPr bwMode="auto">
        <a:xfrm>
          <a:off x="647211" y="545367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41</xdr:row>
      <xdr:rowOff>151423</xdr:rowOff>
    </xdr:from>
    <xdr:to>
      <xdr:col>1</xdr:col>
      <xdr:colOff>411737</xdr:colOff>
      <xdr:row>43</xdr:row>
      <xdr:rowOff>33652</xdr:rowOff>
    </xdr:to>
    <xdr:sp macro="" textlink="">
      <xdr:nvSpPr>
        <xdr:cNvPr id="1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spect="1" noEditPoints="1"/>
        </xdr:cNvSpPr>
      </xdr:nvSpPr>
      <xdr:spPr bwMode="auto">
        <a:xfrm>
          <a:off x="559288" y="717452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144</xdr:row>
      <xdr:rowOff>113861</xdr:rowOff>
    </xdr:from>
    <xdr:to>
      <xdr:col>1</xdr:col>
      <xdr:colOff>451070</xdr:colOff>
      <xdr:row>146</xdr:row>
      <xdr:rowOff>0</xdr:rowOff>
    </xdr:to>
    <xdr:grpSp>
      <xdr:nvGrpSpPr>
        <xdr:cNvPr id="12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>
          <a:grpSpLocks noChangeAspect="1"/>
        </xdr:cNvGrpSpPr>
      </xdr:nvGrpSpPr>
      <xdr:grpSpPr>
        <a:xfrm>
          <a:off x="569617" y="26520092"/>
          <a:ext cx="297183" cy="252485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147</xdr:row>
      <xdr:rowOff>0</xdr:rowOff>
    </xdr:from>
    <xdr:to>
      <xdr:col>1</xdr:col>
      <xdr:colOff>427233</xdr:colOff>
      <xdr:row>148</xdr:row>
      <xdr:rowOff>35505</xdr:rowOff>
    </xdr:to>
    <xdr:sp macro="" textlink="">
      <xdr:nvSpPr>
        <xdr:cNvPr id="37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spect="1" noEditPoints="1"/>
        </xdr:cNvSpPr>
      </xdr:nvSpPr>
      <xdr:spPr bwMode="auto">
        <a:xfrm>
          <a:off x="574784" y="162306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160</xdr:row>
      <xdr:rowOff>113861</xdr:rowOff>
    </xdr:from>
    <xdr:to>
      <xdr:col>1</xdr:col>
      <xdr:colOff>451070</xdr:colOff>
      <xdr:row>162</xdr:row>
      <xdr:rowOff>0</xdr:rowOff>
    </xdr:to>
    <xdr:grpSp>
      <xdr:nvGrpSpPr>
        <xdr:cNvPr id="38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pSpPr>
          <a:grpSpLocks noChangeAspect="1"/>
        </xdr:cNvGrpSpPr>
      </xdr:nvGrpSpPr>
      <xdr:grpSpPr>
        <a:xfrm>
          <a:off x="569617" y="29516803"/>
          <a:ext cx="297183" cy="252485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162</xdr:row>
      <xdr:rowOff>0</xdr:rowOff>
    </xdr:from>
    <xdr:to>
      <xdr:col>1</xdr:col>
      <xdr:colOff>427233</xdr:colOff>
      <xdr:row>163</xdr:row>
      <xdr:rowOff>35505</xdr:rowOff>
    </xdr:to>
    <xdr:sp macro="" textlink="">
      <xdr:nvSpPr>
        <xdr:cNvPr id="63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spect="1" noEditPoints="1"/>
        </xdr:cNvSpPr>
      </xdr:nvSpPr>
      <xdr:spPr bwMode="auto">
        <a:xfrm>
          <a:off x="574784" y="189865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174</xdr:row>
      <xdr:rowOff>113861</xdr:rowOff>
    </xdr:from>
    <xdr:to>
      <xdr:col>1</xdr:col>
      <xdr:colOff>451070</xdr:colOff>
      <xdr:row>176</xdr:row>
      <xdr:rowOff>0</xdr:rowOff>
    </xdr:to>
    <xdr:grpSp>
      <xdr:nvGrpSpPr>
        <xdr:cNvPr id="64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GrpSpPr>
          <a:grpSpLocks noChangeAspect="1"/>
        </xdr:cNvGrpSpPr>
      </xdr:nvGrpSpPr>
      <xdr:grpSpPr>
        <a:xfrm>
          <a:off x="569617" y="32147169"/>
          <a:ext cx="297183" cy="252485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400-000056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</xdr:col>
      <xdr:colOff>109481</xdr:colOff>
      <xdr:row>188</xdr:row>
      <xdr:rowOff>114447</xdr:rowOff>
    </xdr:from>
    <xdr:to>
      <xdr:col>1</xdr:col>
      <xdr:colOff>465738</xdr:colOff>
      <xdr:row>190</xdr:row>
      <xdr:rowOff>46634</xdr:rowOff>
    </xdr:to>
    <xdr:pic>
      <xdr:nvPicPr>
        <xdr:cNvPr id="89" name="Picture 88" descr="Shopping Cart Icon Vector Art, Icons, and Graphics for Free Download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4" t="14023" r="8811" b="12568"/>
        <a:stretch/>
      </xdr:blipFill>
      <xdr:spPr bwMode="auto">
        <a:xfrm rot="10800000" flipV="1">
          <a:off x="522231" y="23888847"/>
          <a:ext cx="358162" cy="298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11</xdr:col>
      <xdr:colOff>122978</xdr:colOff>
      <xdr:row>26</xdr:row>
      <xdr:rowOff>122555</xdr:rowOff>
    </xdr:to>
    <xdr:sp macro="" textlink="">
      <xdr:nvSpPr>
        <xdr:cNvPr id="16386" name="AutoShape 2" descr="Rail sleeper know-how - Thosti-International">
          <a:extLst>
            <a:ext uri="{FF2B5EF4-FFF2-40B4-BE49-F238E27FC236}">
              <a16:creationId xmlns:a16="http://schemas.microsoft.com/office/drawing/2014/main" id="{00000000-0008-0000-0400-000002400000}"/>
            </a:ext>
          </a:extLst>
        </xdr:cNvPr>
        <xdr:cNvSpPr>
          <a:spLocks noChangeAspect="1" noChangeArrowheads="1"/>
        </xdr:cNvSpPr>
      </xdr:nvSpPr>
      <xdr:spPr bwMode="auto">
        <a:xfrm>
          <a:off x="12807950" y="40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179293</xdr:rowOff>
    </xdr:from>
    <xdr:to>
      <xdr:col>2</xdr:col>
      <xdr:colOff>2037106</xdr:colOff>
      <xdr:row>13</xdr:row>
      <xdr:rowOff>66931</xdr:rowOff>
    </xdr:to>
    <xdr:pic>
      <xdr:nvPicPr>
        <xdr:cNvPr id="103" name="Picture 102" descr="Rail sleeper know-how - Thosti-International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0"/>
        <a:stretch/>
      </xdr:blipFill>
      <xdr:spPr bwMode="auto">
        <a:xfrm>
          <a:off x="0" y="739587"/>
          <a:ext cx="3019414" cy="176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148481</xdr:colOff>
      <xdr:row>51</xdr:row>
      <xdr:rowOff>32040</xdr:rowOff>
    </xdr:from>
    <xdr:ext cx="283308" cy="303734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54881" y="3689640"/>
          <a:ext cx="283308" cy="303734"/>
        </a:xfrm>
        <a:prstGeom prst="rect">
          <a:avLst/>
        </a:prstGeom>
      </xdr:spPr>
    </xdr:pic>
    <xdr:clientData/>
  </xdr:oneCellAnchor>
  <xdr:twoCellAnchor>
    <xdr:from>
      <xdr:col>1</xdr:col>
      <xdr:colOff>33215</xdr:colOff>
      <xdr:row>55</xdr:row>
      <xdr:rowOff>80108</xdr:rowOff>
    </xdr:from>
    <xdr:to>
      <xdr:col>1</xdr:col>
      <xdr:colOff>385996</xdr:colOff>
      <xdr:row>57</xdr:row>
      <xdr:rowOff>58614</xdr:rowOff>
    </xdr:to>
    <xdr:sp macro="" textlink="">
      <xdr:nvSpPr>
        <xdr:cNvPr id="115" name="Freeform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/>
        </xdr:cNvSpPr>
      </xdr:nvSpPr>
      <xdr:spPr bwMode="auto">
        <a:xfrm>
          <a:off x="439615" y="4448908"/>
          <a:ext cx="352781" cy="3341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55</xdr:row>
      <xdr:rowOff>123093</xdr:rowOff>
    </xdr:from>
    <xdr:to>
      <xdr:col>1</xdr:col>
      <xdr:colOff>351691</xdr:colOff>
      <xdr:row>56</xdr:row>
      <xdr:rowOff>84015</xdr:rowOff>
    </xdr:to>
    <xdr:sp macro="" textlink="">
      <xdr:nvSpPr>
        <xdr:cNvPr id="116" name="Freeform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/>
        </xdr:cNvSpPr>
      </xdr:nvSpPr>
      <xdr:spPr bwMode="auto">
        <a:xfrm>
          <a:off x="482332" y="4491893"/>
          <a:ext cx="275759" cy="13872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56</xdr:row>
      <xdr:rowOff>119185</xdr:rowOff>
    </xdr:from>
    <xdr:to>
      <xdr:col>1</xdr:col>
      <xdr:colOff>513862</xdr:colOff>
      <xdr:row>57</xdr:row>
      <xdr:rowOff>56752</xdr:rowOff>
    </xdr:to>
    <xdr:sp macro="" textlink="">
      <xdr:nvSpPr>
        <xdr:cNvPr id="117" name="Freeform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/>
        </xdr:cNvSpPr>
      </xdr:nvSpPr>
      <xdr:spPr bwMode="auto">
        <a:xfrm>
          <a:off x="810691" y="4665785"/>
          <a:ext cx="109571" cy="11536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65</xdr:row>
      <xdr:rowOff>24422</xdr:rowOff>
    </xdr:from>
    <xdr:to>
      <xdr:col>1</xdr:col>
      <xdr:colOff>435819</xdr:colOff>
      <xdr:row>67</xdr:row>
      <xdr:rowOff>2927</xdr:rowOff>
    </xdr:to>
    <xdr:sp macro="" textlink="">
      <xdr:nvSpPr>
        <xdr:cNvPr id="118" name="Freeform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/>
        </xdr:cNvSpPr>
      </xdr:nvSpPr>
      <xdr:spPr bwMode="auto">
        <a:xfrm>
          <a:off x="489438" y="6171222"/>
          <a:ext cx="352781" cy="3341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65</xdr:row>
      <xdr:rowOff>67407</xdr:rowOff>
    </xdr:from>
    <xdr:to>
      <xdr:col>1</xdr:col>
      <xdr:colOff>401514</xdr:colOff>
      <xdr:row>66</xdr:row>
      <xdr:rowOff>28328</xdr:rowOff>
    </xdr:to>
    <xdr:sp macro="" textlink="">
      <xdr:nvSpPr>
        <xdr:cNvPr id="119" name="Freeform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/>
        </xdr:cNvSpPr>
      </xdr:nvSpPr>
      <xdr:spPr bwMode="auto">
        <a:xfrm>
          <a:off x="532155" y="6214207"/>
          <a:ext cx="275759" cy="13872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66</xdr:row>
      <xdr:rowOff>21683</xdr:rowOff>
    </xdr:from>
    <xdr:to>
      <xdr:col>1</xdr:col>
      <xdr:colOff>537785</xdr:colOff>
      <xdr:row>67</xdr:row>
      <xdr:rowOff>89528</xdr:rowOff>
    </xdr:to>
    <xdr:sp macro="" textlink="">
      <xdr:nvSpPr>
        <xdr:cNvPr id="12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EditPoints="1"/>
        </xdr:cNvSpPr>
      </xdr:nvSpPr>
      <xdr:spPr bwMode="auto">
        <a:xfrm>
          <a:off x="678986" y="6346283"/>
          <a:ext cx="265199" cy="24564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60</xdr:row>
      <xdr:rowOff>97693</xdr:rowOff>
    </xdr:from>
    <xdr:to>
      <xdr:col>1</xdr:col>
      <xdr:colOff>270764</xdr:colOff>
      <xdr:row>61</xdr:row>
      <xdr:rowOff>35260</xdr:rowOff>
    </xdr:to>
    <xdr:sp macro="" textlink="">
      <xdr:nvSpPr>
        <xdr:cNvPr id="121" name="Freeform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/>
        </xdr:cNvSpPr>
      </xdr:nvSpPr>
      <xdr:spPr bwMode="auto">
        <a:xfrm>
          <a:off x="567593" y="5355493"/>
          <a:ext cx="109571" cy="11536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60</xdr:row>
      <xdr:rowOff>87923</xdr:rowOff>
    </xdr:from>
    <xdr:to>
      <xdr:col>1</xdr:col>
      <xdr:colOff>499660</xdr:colOff>
      <xdr:row>61</xdr:row>
      <xdr:rowOff>155768</xdr:rowOff>
    </xdr:to>
    <xdr:sp macro="" textlink="">
      <xdr:nvSpPr>
        <xdr:cNvPr id="122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EditPoints="1"/>
        </xdr:cNvSpPr>
      </xdr:nvSpPr>
      <xdr:spPr bwMode="auto">
        <a:xfrm>
          <a:off x="640861" y="5345723"/>
          <a:ext cx="265199" cy="24564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69</xdr:row>
      <xdr:rowOff>151423</xdr:rowOff>
    </xdr:from>
    <xdr:to>
      <xdr:col>1</xdr:col>
      <xdr:colOff>411737</xdr:colOff>
      <xdr:row>71</xdr:row>
      <xdr:rowOff>33652</xdr:rowOff>
    </xdr:to>
    <xdr:sp macro="" textlink="">
      <xdr:nvSpPr>
        <xdr:cNvPr id="123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EditPoints="1"/>
        </xdr:cNvSpPr>
      </xdr:nvSpPr>
      <xdr:spPr bwMode="auto">
        <a:xfrm>
          <a:off x="552938" y="7009423"/>
          <a:ext cx="265199" cy="2378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33215</xdr:colOff>
      <xdr:row>111</xdr:row>
      <xdr:rowOff>80108</xdr:rowOff>
    </xdr:from>
    <xdr:to>
      <xdr:col>1</xdr:col>
      <xdr:colOff>385996</xdr:colOff>
      <xdr:row>113</xdr:row>
      <xdr:rowOff>58614</xdr:rowOff>
    </xdr:to>
    <xdr:sp macro="" textlink="">
      <xdr:nvSpPr>
        <xdr:cNvPr id="124" name="Freeform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/>
        </xdr:cNvSpPr>
      </xdr:nvSpPr>
      <xdr:spPr bwMode="auto">
        <a:xfrm>
          <a:off x="445965" y="1520580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111</xdr:row>
      <xdr:rowOff>123093</xdr:rowOff>
    </xdr:from>
    <xdr:to>
      <xdr:col>1</xdr:col>
      <xdr:colOff>351691</xdr:colOff>
      <xdr:row>112</xdr:row>
      <xdr:rowOff>84015</xdr:rowOff>
    </xdr:to>
    <xdr:sp macro="" textlink="">
      <xdr:nvSpPr>
        <xdr:cNvPr id="125" name="Freeform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/>
        </xdr:cNvSpPr>
      </xdr:nvSpPr>
      <xdr:spPr bwMode="auto">
        <a:xfrm>
          <a:off x="488682" y="1524879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112</xdr:row>
      <xdr:rowOff>119185</xdr:rowOff>
    </xdr:from>
    <xdr:to>
      <xdr:col>1</xdr:col>
      <xdr:colOff>513862</xdr:colOff>
      <xdr:row>113</xdr:row>
      <xdr:rowOff>56752</xdr:rowOff>
    </xdr:to>
    <xdr:sp macro="" textlink="">
      <xdr:nvSpPr>
        <xdr:cNvPr id="126" name="Freeform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/>
        </xdr:cNvSpPr>
      </xdr:nvSpPr>
      <xdr:spPr bwMode="auto">
        <a:xfrm>
          <a:off x="817041" y="1542903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121</xdr:row>
      <xdr:rowOff>24422</xdr:rowOff>
    </xdr:from>
    <xdr:to>
      <xdr:col>1</xdr:col>
      <xdr:colOff>435819</xdr:colOff>
      <xdr:row>123</xdr:row>
      <xdr:rowOff>2927</xdr:rowOff>
    </xdr:to>
    <xdr:sp macro="" textlink="">
      <xdr:nvSpPr>
        <xdr:cNvPr id="127" name="Freeform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/>
        </xdr:cNvSpPr>
      </xdr:nvSpPr>
      <xdr:spPr bwMode="auto">
        <a:xfrm>
          <a:off x="495788" y="1699162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121</xdr:row>
      <xdr:rowOff>67407</xdr:rowOff>
    </xdr:from>
    <xdr:to>
      <xdr:col>1</xdr:col>
      <xdr:colOff>401514</xdr:colOff>
      <xdr:row>122</xdr:row>
      <xdr:rowOff>28328</xdr:rowOff>
    </xdr:to>
    <xdr:sp macro="" textlink="">
      <xdr:nvSpPr>
        <xdr:cNvPr id="128" name="Freeform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/>
        </xdr:cNvSpPr>
      </xdr:nvSpPr>
      <xdr:spPr bwMode="auto">
        <a:xfrm>
          <a:off x="538505" y="1703460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122</xdr:row>
      <xdr:rowOff>21683</xdr:rowOff>
    </xdr:from>
    <xdr:to>
      <xdr:col>1</xdr:col>
      <xdr:colOff>537785</xdr:colOff>
      <xdr:row>123</xdr:row>
      <xdr:rowOff>89528</xdr:rowOff>
    </xdr:to>
    <xdr:sp macro="" textlink="">
      <xdr:nvSpPr>
        <xdr:cNvPr id="129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EditPoints="1"/>
        </xdr:cNvSpPr>
      </xdr:nvSpPr>
      <xdr:spPr bwMode="auto">
        <a:xfrm>
          <a:off x="685336" y="1717303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116</xdr:row>
      <xdr:rowOff>97693</xdr:rowOff>
    </xdr:from>
    <xdr:to>
      <xdr:col>1</xdr:col>
      <xdr:colOff>270764</xdr:colOff>
      <xdr:row>117</xdr:row>
      <xdr:rowOff>35260</xdr:rowOff>
    </xdr:to>
    <xdr:sp macro="" textlink="">
      <xdr:nvSpPr>
        <xdr:cNvPr id="130" name="Freeform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/>
        </xdr:cNvSpPr>
      </xdr:nvSpPr>
      <xdr:spPr bwMode="auto">
        <a:xfrm>
          <a:off x="573943" y="1614414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116</xdr:row>
      <xdr:rowOff>87923</xdr:rowOff>
    </xdr:from>
    <xdr:to>
      <xdr:col>1</xdr:col>
      <xdr:colOff>499660</xdr:colOff>
      <xdr:row>117</xdr:row>
      <xdr:rowOff>155768</xdr:rowOff>
    </xdr:to>
    <xdr:sp macro="" textlink="">
      <xdr:nvSpPr>
        <xdr:cNvPr id="13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EditPoints="1"/>
        </xdr:cNvSpPr>
      </xdr:nvSpPr>
      <xdr:spPr bwMode="auto">
        <a:xfrm>
          <a:off x="647211" y="1613437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125</xdr:row>
      <xdr:rowOff>151423</xdr:rowOff>
    </xdr:from>
    <xdr:to>
      <xdr:col>1</xdr:col>
      <xdr:colOff>411737</xdr:colOff>
      <xdr:row>127</xdr:row>
      <xdr:rowOff>33652</xdr:rowOff>
    </xdr:to>
    <xdr:sp macro="" textlink="">
      <xdr:nvSpPr>
        <xdr:cNvPr id="132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>
          <a:spLocks noChangeAspect="1" noEditPoints="1"/>
        </xdr:cNvSpPr>
      </xdr:nvSpPr>
      <xdr:spPr bwMode="auto">
        <a:xfrm>
          <a:off x="559288" y="1785522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156308</xdr:colOff>
      <xdr:row>107</xdr:row>
      <xdr:rowOff>39077</xdr:rowOff>
    </xdr:from>
    <xdr:ext cx="283308" cy="31066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9058" y="14428177"/>
          <a:ext cx="283308" cy="310660"/>
        </a:xfrm>
        <a:prstGeom prst="rect">
          <a:avLst/>
        </a:prstGeom>
      </xdr:spPr>
    </xdr:pic>
    <xdr:clientData/>
  </xdr:oneCellAnchor>
  <xdr:oneCellAnchor>
    <xdr:from>
      <xdr:col>1</xdr:col>
      <xdr:colOff>148481</xdr:colOff>
      <xdr:row>79</xdr:row>
      <xdr:rowOff>32040</xdr:rowOff>
    </xdr:from>
    <xdr:ext cx="283308" cy="303734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4117" y="9499313"/>
          <a:ext cx="283308" cy="303734"/>
        </a:xfrm>
        <a:prstGeom prst="rect">
          <a:avLst/>
        </a:prstGeom>
      </xdr:spPr>
    </xdr:pic>
    <xdr:clientData/>
  </xdr:oneCellAnchor>
  <xdr:twoCellAnchor>
    <xdr:from>
      <xdr:col>1</xdr:col>
      <xdr:colOff>33215</xdr:colOff>
      <xdr:row>83</xdr:row>
      <xdr:rowOff>80108</xdr:rowOff>
    </xdr:from>
    <xdr:to>
      <xdr:col>1</xdr:col>
      <xdr:colOff>385996</xdr:colOff>
      <xdr:row>85</xdr:row>
      <xdr:rowOff>58614</xdr:rowOff>
    </xdr:to>
    <xdr:sp macro="" textlink="">
      <xdr:nvSpPr>
        <xdr:cNvPr id="135" name="Freeform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/>
        </xdr:cNvSpPr>
      </xdr:nvSpPr>
      <xdr:spPr bwMode="auto">
        <a:xfrm>
          <a:off x="448851" y="10286290"/>
          <a:ext cx="352781" cy="347960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83</xdr:row>
      <xdr:rowOff>123093</xdr:rowOff>
    </xdr:from>
    <xdr:to>
      <xdr:col>1</xdr:col>
      <xdr:colOff>351691</xdr:colOff>
      <xdr:row>84</xdr:row>
      <xdr:rowOff>84015</xdr:rowOff>
    </xdr:to>
    <xdr:sp macro="" textlink="">
      <xdr:nvSpPr>
        <xdr:cNvPr id="136" name="Freeform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/>
        </xdr:cNvSpPr>
      </xdr:nvSpPr>
      <xdr:spPr bwMode="auto">
        <a:xfrm>
          <a:off x="491568" y="10329275"/>
          <a:ext cx="275759" cy="145649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84</xdr:row>
      <xdr:rowOff>119185</xdr:rowOff>
    </xdr:from>
    <xdr:to>
      <xdr:col>1</xdr:col>
      <xdr:colOff>513862</xdr:colOff>
      <xdr:row>85</xdr:row>
      <xdr:rowOff>56752</xdr:rowOff>
    </xdr:to>
    <xdr:sp macro="" textlink="">
      <xdr:nvSpPr>
        <xdr:cNvPr id="137" name="Freeform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>
          <a:spLocks/>
        </xdr:cNvSpPr>
      </xdr:nvSpPr>
      <xdr:spPr bwMode="auto">
        <a:xfrm>
          <a:off x="819927" y="10510094"/>
          <a:ext cx="109571" cy="122294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93</xdr:row>
      <xdr:rowOff>24422</xdr:rowOff>
    </xdr:from>
    <xdr:to>
      <xdr:col>1</xdr:col>
      <xdr:colOff>435819</xdr:colOff>
      <xdr:row>95</xdr:row>
      <xdr:rowOff>2927</xdr:rowOff>
    </xdr:to>
    <xdr:sp macro="" textlink="">
      <xdr:nvSpPr>
        <xdr:cNvPr id="138" name="Freeform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/>
        </xdr:cNvSpPr>
      </xdr:nvSpPr>
      <xdr:spPr bwMode="auto">
        <a:xfrm>
          <a:off x="498674" y="12077877"/>
          <a:ext cx="352781" cy="347959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93</xdr:row>
      <xdr:rowOff>67407</xdr:rowOff>
    </xdr:from>
    <xdr:to>
      <xdr:col>1</xdr:col>
      <xdr:colOff>401514</xdr:colOff>
      <xdr:row>94</xdr:row>
      <xdr:rowOff>28328</xdr:rowOff>
    </xdr:to>
    <xdr:sp macro="" textlink="">
      <xdr:nvSpPr>
        <xdr:cNvPr id="139" name="Freeform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/>
        </xdr:cNvSpPr>
      </xdr:nvSpPr>
      <xdr:spPr bwMode="auto">
        <a:xfrm>
          <a:off x="541391" y="12120862"/>
          <a:ext cx="275759" cy="145648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94</xdr:row>
      <xdr:rowOff>21683</xdr:rowOff>
    </xdr:from>
    <xdr:to>
      <xdr:col>1</xdr:col>
      <xdr:colOff>537785</xdr:colOff>
      <xdr:row>95</xdr:row>
      <xdr:rowOff>89528</xdr:rowOff>
    </xdr:to>
    <xdr:sp macro="" textlink="">
      <xdr:nvSpPr>
        <xdr:cNvPr id="14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EditPoints="1"/>
        </xdr:cNvSpPr>
      </xdr:nvSpPr>
      <xdr:spPr bwMode="auto">
        <a:xfrm>
          <a:off x="688222" y="12259865"/>
          <a:ext cx="265199" cy="252572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88</xdr:row>
      <xdr:rowOff>97693</xdr:rowOff>
    </xdr:from>
    <xdr:to>
      <xdr:col>1</xdr:col>
      <xdr:colOff>270764</xdr:colOff>
      <xdr:row>89</xdr:row>
      <xdr:rowOff>35260</xdr:rowOff>
    </xdr:to>
    <xdr:sp macro="" textlink="">
      <xdr:nvSpPr>
        <xdr:cNvPr id="141" name="Freeform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/>
        </xdr:cNvSpPr>
      </xdr:nvSpPr>
      <xdr:spPr bwMode="auto">
        <a:xfrm>
          <a:off x="576829" y="11227511"/>
          <a:ext cx="109571" cy="122294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88</xdr:row>
      <xdr:rowOff>87923</xdr:rowOff>
    </xdr:from>
    <xdr:to>
      <xdr:col>1</xdr:col>
      <xdr:colOff>499660</xdr:colOff>
      <xdr:row>89</xdr:row>
      <xdr:rowOff>155768</xdr:rowOff>
    </xdr:to>
    <xdr:sp macro="" textlink="">
      <xdr:nvSpPr>
        <xdr:cNvPr id="142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EditPoints="1"/>
        </xdr:cNvSpPr>
      </xdr:nvSpPr>
      <xdr:spPr bwMode="auto">
        <a:xfrm>
          <a:off x="650097" y="11217741"/>
          <a:ext cx="265199" cy="252572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97</xdr:row>
      <xdr:rowOff>151423</xdr:rowOff>
    </xdr:from>
    <xdr:to>
      <xdr:col>1</xdr:col>
      <xdr:colOff>411737</xdr:colOff>
      <xdr:row>99</xdr:row>
      <xdr:rowOff>33652</xdr:rowOff>
    </xdr:to>
    <xdr:sp macro="" textlink="">
      <xdr:nvSpPr>
        <xdr:cNvPr id="143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EditPoints="1"/>
        </xdr:cNvSpPr>
      </xdr:nvSpPr>
      <xdr:spPr bwMode="auto">
        <a:xfrm>
          <a:off x="562174" y="12943787"/>
          <a:ext cx="265199" cy="251683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0</xdr:colOff>
      <xdr:row>25</xdr:row>
      <xdr:rowOff>0</xdr:rowOff>
    </xdr:from>
    <xdr:ext cx="304800" cy="300567"/>
    <xdr:sp macro="" textlink="">
      <xdr:nvSpPr>
        <xdr:cNvPr id="144" name="AutoShape 2" descr="Rail sleeper know-how - Thosti-International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0392833" y="454025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300567"/>
    <xdr:sp macro="" textlink="">
      <xdr:nvSpPr>
        <xdr:cNvPr id="145" name="AutoShape 2" descr="Rail sleeper know-how - Thosti-International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0392833" y="473075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300567"/>
    <xdr:sp macro="" textlink="">
      <xdr:nvSpPr>
        <xdr:cNvPr id="146" name="AutoShape 2" descr="Rail sleeper know-how - Thosti-International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0392833" y="4730750"/>
          <a:ext cx="304800" cy="300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148481</xdr:colOff>
      <xdr:row>23</xdr:row>
      <xdr:rowOff>32040</xdr:rowOff>
    </xdr:from>
    <xdr:to>
      <xdr:col>1</xdr:col>
      <xdr:colOff>429884</xdr:colOff>
      <xdr:row>24</xdr:row>
      <xdr:rowOff>154163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1231" y="4661190"/>
          <a:ext cx="283308" cy="310084"/>
        </a:xfrm>
        <a:prstGeom prst="rect">
          <a:avLst/>
        </a:prstGeom>
      </xdr:spPr>
    </xdr:pic>
    <xdr:clientData/>
  </xdr:twoCellAnchor>
  <xdr:twoCellAnchor>
    <xdr:from>
      <xdr:col>1</xdr:col>
      <xdr:colOff>33215</xdr:colOff>
      <xdr:row>27</xdr:row>
      <xdr:rowOff>80108</xdr:rowOff>
    </xdr:from>
    <xdr:to>
      <xdr:col>1</xdr:col>
      <xdr:colOff>385996</xdr:colOff>
      <xdr:row>29</xdr:row>
      <xdr:rowOff>58614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 bwMode="auto">
        <a:xfrm>
          <a:off x="445965" y="544585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27</xdr:row>
      <xdr:rowOff>123093</xdr:rowOff>
    </xdr:from>
    <xdr:to>
      <xdr:col>1</xdr:col>
      <xdr:colOff>351691</xdr:colOff>
      <xdr:row>28</xdr:row>
      <xdr:rowOff>84015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/>
        </xdr:cNvSpPr>
      </xdr:nvSpPr>
      <xdr:spPr bwMode="auto">
        <a:xfrm>
          <a:off x="488682" y="548884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28</xdr:row>
      <xdr:rowOff>119185</xdr:rowOff>
    </xdr:from>
    <xdr:to>
      <xdr:col>1</xdr:col>
      <xdr:colOff>513862</xdr:colOff>
      <xdr:row>29</xdr:row>
      <xdr:rowOff>56752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/>
        </xdr:cNvSpPr>
      </xdr:nvSpPr>
      <xdr:spPr bwMode="auto">
        <a:xfrm>
          <a:off x="817041" y="566908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37</xdr:row>
      <xdr:rowOff>24422</xdr:rowOff>
    </xdr:from>
    <xdr:to>
      <xdr:col>1</xdr:col>
      <xdr:colOff>435819</xdr:colOff>
      <xdr:row>39</xdr:row>
      <xdr:rowOff>2927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495788" y="723167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37</xdr:row>
      <xdr:rowOff>67407</xdr:rowOff>
    </xdr:from>
    <xdr:to>
      <xdr:col>1</xdr:col>
      <xdr:colOff>401514</xdr:colOff>
      <xdr:row>38</xdr:row>
      <xdr:rowOff>28328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 bwMode="auto">
        <a:xfrm>
          <a:off x="538505" y="727465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38</xdr:row>
      <xdr:rowOff>21683</xdr:rowOff>
    </xdr:from>
    <xdr:to>
      <xdr:col>1</xdr:col>
      <xdr:colOff>537785</xdr:colOff>
      <xdr:row>39</xdr:row>
      <xdr:rowOff>89528</xdr:rowOff>
    </xdr:to>
    <xdr:sp macro="" textlink="">
      <xdr:nvSpPr>
        <xdr:cNvPr id="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spect="1" noEditPoints="1"/>
        </xdr:cNvSpPr>
      </xdr:nvSpPr>
      <xdr:spPr bwMode="auto">
        <a:xfrm>
          <a:off x="685336" y="741308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32</xdr:row>
      <xdr:rowOff>97693</xdr:rowOff>
    </xdr:from>
    <xdr:to>
      <xdr:col>1</xdr:col>
      <xdr:colOff>270764</xdr:colOff>
      <xdr:row>33</xdr:row>
      <xdr:rowOff>35260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/>
        </xdr:cNvSpPr>
      </xdr:nvSpPr>
      <xdr:spPr bwMode="auto">
        <a:xfrm>
          <a:off x="573943" y="638419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32</xdr:row>
      <xdr:rowOff>87923</xdr:rowOff>
    </xdr:from>
    <xdr:to>
      <xdr:col>1</xdr:col>
      <xdr:colOff>499660</xdr:colOff>
      <xdr:row>33</xdr:row>
      <xdr:rowOff>155768</xdr:rowOff>
    </xdr:to>
    <xdr:sp macro="" textlink="">
      <xdr:nvSpPr>
        <xdr:cNvPr id="1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spect="1" noEditPoints="1"/>
        </xdr:cNvSpPr>
      </xdr:nvSpPr>
      <xdr:spPr bwMode="auto">
        <a:xfrm>
          <a:off x="647211" y="637442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41</xdr:row>
      <xdr:rowOff>151423</xdr:rowOff>
    </xdr:from>
    <xdr:to>
      <xdr:col>1</xdr:col>
      <xdr:colOff>411737</xdr:colOff>
      <xdr:row>43</xdr:row>
      <xdr:rowOff>33652</xdr:rowOff>
    </xdr:to>
    <xdr:sp macro="" textlink="">
      <xdr:nvSpPr>
        <xdr:cNvPr id="1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spect="1" noEditPoints="1"/>
        </xdr:cNvSpPr>
      </xdr:nvSpPr>
      <xdr:spPr bwMode="auto">
        <a:xfrm>
          <a:off x="559288" y="809527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88</xdr:row>
      <xdr:rowOff>113861</xdr:rowOff>
    </xdr:from>
    <xdr:to>
      <xdr:col>1</xdr:col>
      <xdr:colOff>451070</xdr:colOff>
      <xdr:row>90</xdr:row>
      <xdr:rowOff>0</xdr:rowOff>
    </xdr:to>
    <xdr:grpSp>
      <xdr:nvGrpSpPr>
        <xdr:cNvPr id="12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>
          <a:grpSpLocks noChangeAspect="1"/>
        </xdr:cNvGrpSpPr>
      </xdr:nvGrpSpPr>
      <xdr:grpSpPr>
        <a:xfrm>
          <a:off x="574395" y="16182122"/>
          <a:ext cx="297183" cy="250574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91</xdr:row>
      <xdr:rowOff>0</xdr:rowOff>
    </xdr:from>
    <xdr:to>
      <xdr:col>1</xdr:col>
      <xdr:colOff>427233</xdr:colOff>
      <xdr:row>92</xdr:row>
      <xdr:rowOff>35505</xdr:rowOff>
    </xdr:to>
    <xdr:sp macro="" textlink="">
      <xdr:nvSpPr>
        <xdr:cNvPr id="37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spect="1" noEditPoints="1"/>
        </xdr:cNvSpPr>
      </xdr:nvSpPr>
      <xdr:spPr bwMode="auto">
        <a:xfrm>
          <a:off x="574784" y="377698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104</xdr:row>
      <xdr:rowOff>113861</xdr:rowOff>
    </xdr:from>
    <xdr:to>
      <xdr:col>1</xdr:col>
      <xdr:colOff>451070</xdr:colOff>
      <xdr:row>106</xdr:row>
      <xdr:rowOff>0</xdr:rowOff>
    </xdr:to>
    <xdr:grpSp>
      <xdr:nvGrpSpPr>
        <xdr:cNvPr id="38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>
          <a:grpSpLocks noChangeAspect="1"/>
        </xdr:cNvGrpSpPr>
      </xdr:nvGrpSpPr>
      <xdr:grpSpPr>
        <a:xfrm>
          <a:off x="574395" y="19163861"/>
          <a:ext cx="297183" cy="250574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5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162034</xdr:colOff>
      <xdr:row>106</xdr:row>
      <xdr:rowOff>0</xdr:rowOff>
    </xdr:from>
    <xdr:to>
      <xdr:col>1</xdr:col>
      <xdr:colOff>427233</xdr:colOff>
      <xdr:row>107</xdr:row>
      <xdr:rowOff>35505</xdr:rowOff>
    </xdr:to>
    <xdr:sp macro="" textlink="">
      <xdr:nvSpPr>
        <xdr:cNvPr id="63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spect="1" noEditPoints="1"/>
        </xdr:cNvSpPr>
      </xdr:nvSpPr>
      <xdr:spPr bwMode="auto">
        <a:xfrm>
          <a:off x="574784" y="40601900"/>
          <a:ext cx="265199" cy="21965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148172</xdr:colOff>
      <xdr:row>118</xdr:row>
      <xdr:rowOff>113861</xdr:rowOff>
    </xdr:from>
    <xdr:to>
      <xdr:col>1</xdr:col>
      <xdr:colOff>451070</xdr:colOff>
      <xdr:row>120</xdr:row>
      <xdr:rowOff>0</xdr:rowOff>
    </xdr:to>
    <xdr:grpSp>
      <xdr:nvGrpSpPr>
        <xdr:cNvPr id="64" name="Automation9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>
          <a:grpSpLocks noChangeAspect="1"/>
        </xdr:cNvGrpSpPr>
      </xdr:nvGrpSpPr>
      <xdr:grpSpPr>
        <a:xfrm>
          <a:off x="574395" y="21781165"/>
          <a:ext cx="297183" cy="250574"/>
          <a:chOff x="7217200" y="2973718"/>
          <a:chExt cx="2056129" cy="2233827"/>
        </a:xfrm>
        <a:solidFill>
          <a:schemeClr val="accent1"/>
        </a:solidFill>
      </xdr:grpSpPr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SpPr>
            <a:spLocks/>
          </xdr:cNvSpPr>
        </xdr:nvSpPr>
        <xdr:spPr bwMode="auto">
          <a:xfrm>
            <a:off x="7267969" y="4611010"/>
            <a:ext cx="672688" cy="596535"/>
          </a:xfrm>
          <a:custGeom>
            <a:avLst/>
            <a:gdLst>
              <a:gd name="T0" fmla="*/ 2 w 53"/>
              <a:gd name="T1" fmla="*/ 2 h 47"/>
              <a:gd name="T2" fmla="*/ 2 w 53"/>
              <a:gd name="T3" fmla="*/ 4 h 47"/>
              <a:gd name="T4" fmla="*/ 49 w 53"/>
              <a:gd name="T5" fmla="*/ 4 h 47"/>
              <a:gd name="T6" fmla="*/ 49 w 53"/>
              <a:gd name="T7" fmla="*/ 42 h 47"/>
              <a:gd name="T8" fmla="*/ 4 w 53"/>
              <a:gd name="T9" fmla="*/ 42 h 47"/>
              <a:gd name="T10" fmla="*/ 4 w 53"/>
              <a:gd name="T11" fmla="*/ 2 h 47"/>
              <a:gd name="T12" fmla="*/ 2 w 53"/>
              <a:gd name="T13" fmla="*/ 2 h 47"/>
              <a:gd name="T14" fmla="*/ 2 w 53"/>
              <a:gd name="T15" fmla="*/ 4 h 47"/>
              <a:gd name="T16" fmla="*/ 2 w 53"/>
              <a:gd name="T17" fmla="*/ 2 h 47"/>
              <a:gd name="T18" fmla="*/ 0 w 53"/>
              <a:gd name="T19" fmla="*/ 2 h 47"/>
              <a:gd name="T20" fmla="*/ 0 w 53"/>
              <a:gd name="T21" fmla="*/ 47 h 47"/>
              <a:gd name="T22" fmla="*/ 53 w 53"/>
              <a:gd name="T23" fmla="*/ 47 h 47"/>
              <a:gd name="T24" fmla="*/ 53 w 53"/>
              <a:gd name="T25" fmla="*/ 0 h 47"/>
              <a:gd name="T26" fmla="*/ 0 w 53"/>
              <a:gd name="T27" fmla="*/ 0 h 47"/>
              <a:gd name="T28" fmla="*/ 0 w 53"/>
              <a:gd name="T29" fmla="*/ 2 h 47"/>
              <a:gd name="T30" fmla="*/ 2 w 53"/>
              <a:gd name="T31" fmla="*/ 2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3" h="47">
                <a:moveTo>
                  <a:pt x="2" y="2"/>
                </a:moveTo>
                <a:lnTo>
                  <a:pt x="2" y="4"/>
                </a:lnTo>
                <a:lnTo>
                  <a:pt x="49" y="4"/>
                </a:lnTo>
                <a:lnTo>
                  <a:pt x="49" y="42"/>
                </a:lnTo>
                <a:lnTo>
                  <a:pt x="4" y="42"/>
                </a:lnTo>
                <a:lnTo>
                  <a:pt x="4" y="2"/>
                </a:lnTo>
                <a:lnTo>
                  <a:pt x="2" y="2"/>
                </a:lnTo>
                <a:lnTo>
                  <a:pt x="2" y="4"/>
                </a:lnTo>
                <a:lnTo>
                  <a:pt x="2" y="2"/>
                </a:lnTo>
                <a:lnTo>
                  <a:pt x="0" y="2"/>
                </a:lnTo>
                <a:lnTo>
                  <a:pt x="0" y="47"/>
                </a:lnTo>
                <a:lnTo>
                  <a:pt x="53" y="47"/>
                </a:lnTo>
                <a:lnTo>
                  <a:pt x="53" y="0"/>
                </a:lnTo>
                <a:lnTo>
                  <a:pt x="0" y="0"/>
                </a:lnTo>
                <a:lnTo>
                  <a:pt x="0" y="2"/>
                </a:lnTo>
                <a:lnTo>
                  <a:pt x="2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SpPr>
            <a:spLocks/>
          </xdr:cNvSpPr>
        </xdr:nvSpPr>
        <xdr:spPr bwMode="auto">
          <a:xfrm>
            <a:off x="7585268" y="3202177"/>
            <a:ext cx="799610" cy="698072"/>
          </a:xfrm>
          <a:custGeom>
            <a:avLst/>
            <a:gdLst>
              <a:gd name="T0" fmla="*/ 457 w 490"/>
              <a:gd name="T1" fmla="*/ 131 h 431"/>
              <a:gd name="T2" fmla="*/ 446 w 490"/>
              <a:gd name="T3" fmla="*/ 118 h 431"/>
              <a:gd name="T4" fmla="*/ 99 w 490"/>
              <a:gd name="T5" fmla="*/ 394 h 431"/>
              <a:gd name="T6" fmla="*/ 89 w 490"/>
              <a:gd name="T7" fmla="*/ 398 h 431"/>
              <a:gd name="T8" fmla="*/ 77 w 490"/>
              <a:gd name="T9" fmla="*/ 392 h 431"/>
              <a:gd name="T10" fmla="*/ 37 w 490"/>
              <a:gd name="T11" fmla="*/ 342 h 431"/>
              <a:gd name="T12" fmla="*/ 34 w 490"/>
              <a:gd name="T13" fmla="*/ 332 h 431"/>
              <a:gd name="T14" fmla="*/ 40 w 490"/>
              <a:gd name="T15" fmla="*/ 320 h 431"/>
              <a:gd name="T16" fmla="*/ 40 w 490"/>
              <a:gd name="T17" fmla="*/ 320 h 431"/>
              <a:gd name="T18" fmla="*/ 387 w 490"/>
              <a:gd name="T19" fmla="*/ 44 h 431"/>
              <a:gd name="T20" fmla="*/ 376 w 490"/>
              <a:gd name="T21" fmla="*/ 30 h 431"/>
              <a:gd name="T22" fmla="*/ 360 w 490"/>
              <a:gd name="T23" fmla="*/ 33 h 431"/>
              <a:gd name="T24" fmla="*/ 450 w 490"/>
              <a:gd name="T25" fmla="*/ 147 h 431"/>
              <a:gd name="T26" fmla="*/ 457 w 490"/>
              <a:gd name="T27" fmla="*/ 131 h 431"/>
              <a:gd name="T28" fmla="*/ 446 w 490"/>
              <a:gd name="T29" fmla="*/ 118 h 431"/>
              <a:gd name="T30" fmla="*/ 457 w 490"/>
              <a:gd name="T31" fmla="*/ 131 h 431"/>
              <a:gd name="T32" fmla="*/ 463 w 490"/>
              <a:gd name="T33" fmla="*/ 116 h 431"/>
              <a:gd name="T34" fmla="*/ 393 w 490"/>
              <a:gd name="T35" fmla="*/ 28 h 431"/>
              <a:gd name="T36" fmla="*/ 388 w 490"/>
              <a:gd name="T37" fmla="*/ 0 h 431"/>
              <a:gd name="T38" fmla="*/ 19 w 490"/>
              <a:gd name="T39" fmla="*/ 294 h 431"/>
              <a:gd name="T40" fmla="*/ 19 w 490"/>
              <a:gd name="T41" fmla="*/ 294 h 431"/>
              <a:gd name="T42" fmla="*/ 0 w 490"/>
              <a:gd name="T43" fmla="*/ 332 h 431"/>
              <a:gd name="T44" fmla="*/ 11 w 490"/>
              <a:gd name="T45" fmla="*/ 362 h 431"/>
              <a:gd name="T46" fmla="*/ 51 w 490"/>
              <a:gd name="T47" fmla="*/ 413 h 431"/>
              <a:gd name="T48" fmla="*/ 89 w 490"/>
              <a:gd name="T49" fmla="*/ 431 h 431"/>
              <a:gd name="T50" fmla="*/ 120 w 490"/>
              <a:gd name="T51" fmla="*/ 421 h 431"/>
              <a:gd name="T52" fmla="*/ 490 w 490"/>
              <a:gd name="T53" fmla="*/ 126 h 431"/>
              <a:gd name="T54" fmla="*/ 463 w 490"/>
              <a:gd name="T55" fmla="*/ 116 h 431"/>
              <a:gd name="T56" fmla="*/ 457 w 490"/>
              <a:gd name="T57" fmla="*/ 131 h 4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90" h="431">
                <a:moveTo>
                  <a:pt x="457" y="131"/>
                </a:moveTo>
                <a:lnTo>
                  <a:pt x="446" y="118"/>
                </a:lnTo>
                <a:lnTo>
                  <a:pt x="99" y="394"/>
                </a:lnTo>
                <a:cubicBezTo>
                  <a:pt x="96" y="397"/>
                  <a:pt x="93" y="398"/>
                  <a:pt x="89" y="398"/>
                </a:cubicBezTo>
                <a:cubicBezTo>
                  <a:pt x="85" y="398"/>
                  <a:pt x="80" y="396"/>
                  <a:pt x="77" y="392"/>
                </a:cubicBezTo>
                <a:lnTo>
                  <a:pt x="37" y="342"/>
                </a:lnTo>
                <a:cubicBezTo>
                  <a:pt x="35" y="339"/>
                  <a:pt x="34" y="335"/>
                  <a:pt x="34" y="332"/>
                </a:cubicBezTo>
                <a:cubicBezTo>
                  <a:pt x="34" y="327"/>
                  <a:pt x="36" y="323"/>
                  <a:pt x="40" y="320"/>
                </a:cubicBezTo>
                <a:lnTo>
                  <a:pt x="40" y="320"/>
                </a:lnTo>
                <a:lnTo>
                  <a:pt x="387" y="44"/>
                </a:lnTo>
                <a:lnTo>
                  <a:pt x="376" y="30"/>
                </a:lnTo>
                <a:lnTo>
                  <a:pt x="360" y="33"/>
                </a:lnTo>
                <a:cubicBezTo>
                  <a:pt x="368" y="85"/>
                  <a:pt x="403" y="128"/>
                  <a:pt x="450" y="147"/>
                </a:cubicBezTo>
                <a:lnTo>
                  <a:pt x="457" y="131"/>
                </a:lnTo>
                <a:lnTo>
                  <a:pt x="446" y="118"/>
                </a:lnTo>
                <a:lnTo>
                  <a:pt x="457" y="131"/>
                </a:lnTo>
                <a:lnTo>
                  <a:pt x="463" y="116"/>
                </a:lnTo>
                <a:cubicBezTo>
                  <a:pt x="426" y="101"/>
                  <a:pt x="399" y="68"/>
                  <a:pt x="393" y="28"/>
                </a:cubicBezTo>
                <a:lnTo>
                  <a:pt x="388" y="0"/>
                </a:lnTo>
                <a:lnTo>
                  <a:pt x="19" y="294"/>
                </a:lnTo>
                <a:lnTo>
                  <a:pt x="19" y="294"/>
                </a:lnTo>
                <a:cubicBezTo>
                  <a:pt x="7" y="303"/>
                  <a:pt x="0" y="318"/>
                  <a:pt x="0" y="332"/>
                </a:cubicBezTo>
                <a:cubicBezTo>
                  <a:pt x="0" y="343"/>
                  <a:pt x="4" y="353"/>
                  <a:pt x="11" y="362"/>
                </a:cubicBezTo>
                <a:lnTo>
                  <a:pt x="51" y="413"/>
                </a:lnTo>
                <a:cubicBezTo>
                  <a:pt x="61" y="425"/>
                  <a:pt x="75" y="431"/>
                  <a:pt x="89" y="431"/>
                </a:cubicBezTo>
                <a:cubicBezTo>
                  <a:pt x="100" y="431"/>
                  <a:pt x="111" y="428"/>
                  <a:pt x="120" y="421"/>
                </a:cubicBezTo>
                <a:lnTo>
                  <a:pt x="490" y="126"/>
                </a:lnTo>
                <a:lnTo>
                  <a:pt x="463" y="116"/>
                </a:lnTo>
                <a:lnTo>
                  <a:pt x="457" y="13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SpPr>
            <a:spLocks/>
          </xdr:cNvSpPr>
        </xdr:nvSpPr>
        <xdr:spPr bwMode="auto">
          <a:xfrm>
            <a:off x="8410263" y="3214873"/>
            <a:ext cx="456918" cy="456918"/>
          </a:xfrm>
          <a:custGeom>
            <a:avLst/>
            <a:gdLst>
              <a:gd name="T0" fmla="*/ 245 w 277"/>
              <a:gd name="T1" fmla="*/ 153 h 276"/>
              <a:gd name="T2" fmla="*/ 241 w 277"/>
              <a:gd name="T3" fmla="*/ 137 h 276"/>
              <a:gd name="T4" fmla="*/ 138 w 277"/>
              <a:gd name="T5" fmla="*/ 240 h 276"/>
              <a:gd name="T6" fmla="*/ 154 w 277"/>
              <a:gd name="T7" fmla="*/ 244 h 276"/>
              <a:gd name="T8" fmla="*/ 166 w 277"/>
              <a:gd name="T9" fmla="*/ 232 h 276"/>
              <a:gd name="T10" fmla="*/ 44 w 277"/>
              <a:gd name="T11" fmla="*/ 111 h 276"/>
              <a:gd name="T12" fmla="*/ 32 w 277"/>
              <a:gd name="T13" fmla="*/ 123 h 276"/>
              <a:gd name="T14" fmla="*/ 37 w 277"/>
              <a:gd name="T15" fmla="*/ 139 h 276"/>
              <a:gd name="T16" fmla="*/ 140 w 277"/>
              <a:gd name="T17" fmla="*/ 36 h 276"/>
              <a:gd name="T18" fmla="*/ 123 w 277"/>
              <a:gd name="T19" fmla="*/ 32 h 276"/>
              <a:gd name="T20" fmla="*/ 112 w 277"/>
              <a:gd name="T21" fmla="*/ 43 h 276"/>
              <a:gd name="T22" fmla="*/ 233 w 277"/>
              <a:gd name="T23" fmla="*/ 165 h 276"/>
              <a:gd name="T24" fmla="*/ 245 w 277"/>
              <a:gd name="T25" fmla="*/ 153 h 276"/>
              <a:gd name="T26" fmla="*/ 241 w 277"/>
              <a:gd name="T27" fmla="*/ 137 h 276"/>
              <a:gd name="T28" fmla="*/ 245 w 277"/>
              <a:gd name="T29" fmla="*/ 153 h 276"/>
              <a:gd name="T30" fmla="*/ 257 w 277"/>
              <a:gd name="T31" fmla="*/ 141 h 276"/>
              <a:gd name="T32" fmla="*/ 115 w 277"/>
              <a:gd name="T33" fmla="*/ 0 h 276"/>
              <a:gd name="T34" fmla="*/ 107 w 277"/>
              <a:gd name="T35" fmla="*/ 27 h 276"/>
              <a:gd name="T36" fmla="*/ 28 w 277"/>
              <a:gd name="T37" fmla="*/ 107 h 276"/>
              <a:gd name="T38" fmla="*/ 0 w 277"/>
              <a:gd name="T39" fmla="*/ 114 h 276"/>
              <a:gd name="T40" fmla="*/ 162 w 277"/>
              <a:gd name="T41" fmla="*/ 276 h 276"/>
              <a:gd name="T42" fmla="*/ 170 w 277"/>
              <a:gd name="T43" fmla="*/ 249 h 276"/>
              <a:gd name="T44" fmla="*/ 249 w 277"/>
              <a:gd name="T45" fmla="*/ 169 h 276"/>
              <a:gd name="T46" fmla="*/ 277 w 277"/>
              <a:gd name="T47" fmla="*/ 162 h 276"/>
              <a:gd name="T48" fmla="*/ 257 w 277"/>
              <a:gd name="T49" fmla="*/ 141 h 276"/>
              <a:gd name="T50" fmla="*/ 245 w 277"/>
              <a:gd name="T51" fmla="*/ 153 h 2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277" h="276">
                <a:moveTo>
                  <a:pt x="245" y="153"/>
                </a:moveTo>
                <a:lnTo>
                  <a:pt x="241" y="137"/>
                </a:lnTo>
                <a:cubicBezTo>
                  <a:pt x="191" y="151"/>
                  <a:pt x="151" y="190"/>
                  <a:pt x="138" y="240"/>
                </a:cubicBezTo>
                <a:lnTo>
                  <a:pt x="154" y="244"/>
                </a:lnTo>
                <a:lnTo>
                  <a:pt x="166" y="232"/>
                </a:lnTo>
                <a:lnTo>
                  <a:pt x="44" y="111"/>
                </a:lnTo>
                <a:lnTo>
                  <a:pt x="32" y="123"/>
                </a:lnTo>
                <a:lnTo>
                  <a:pt x="37" y="139"/>
                </a:lnTo>
                <a:cubicBezTo>
                  <a:pt x="87" y="125"/>
                  <a:pt x="126" y="86"/>
                  <a:pt x="140" y="36"/>
                </a:cubicBezTo>
                <a:lnTo>
                  <a:pt x="123" y="32"/>
                </a:lnTo>
                <a:lnTo>
                  <a:pt x="112" y="43"/>
                </a:lnTo>
                <a:lnTo>
                  <a:pt x="233" y="165"/>
                </a:lnTo>
                <a:lnTo>
                  <a:pt x="245" y="153"/>
                </a:lnTo>
                <a:lnTo>
                  <a:pt x="241" y="137"/>
                </a:lnTo>
                <a:lnTo>
                  <a:pt x="245" y="153"/>
                </a:lnTo>
                <a:lnTo>
                  <a:pt x="257" y="141"/>
                </a:lnTo>
                <a:lnTo>
                  <a:pt x="115" y="0"/>
                </a:lnTo>
                <a:lnTo>
                  <a:pt x="107" y="27"/>
                </a:lnTo>
                <a:cubicBezTo>
                  <a:pt x="97" y="66"/>
                  <a:pt x="67" y="96"/>
                  <a:pt x="28" y="107"/>
                </a:cubicBezTo>
                <a:lnTo>
                  <a:pt x="0" y="114"/>
                </a:lnTo>
                <a:lnTo>
                  <a:pt x="162" y="276"/>
                </a:lnTo>
                <a:lnTo>
                  <a:pt x="170" y="249"/>
                </a:lnTo>
                <a:cubicBezTo>
                  <a:pt x="180" y="210"/>
                  <a:pt x="211" y="180"/>
                  <a:pt x="249" y="169"/>
                </a:cubicBezTo>
                <a:lnTo>
                  <a:pt x="277" y="162"/>
                </a:lnTo>
                <a:lnTo>
                  <a:pt x="257" y="141"/>
                </a:lnTo>
                <a:lnTo>
                  <a:pt x="245" y="153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00000000-0008-0000-0500-000044000000}"/>
              </a:ext>
            </a:extLst>
          </xdr:cNvPr>
          <xdr:cNvSpPr>
            <a:spLocks/>
          </xdr:cNvSpPr>
        </xdr:nvSpPr>
        <xdr:spPr bwMode="auto">
          <a:xfrm>
            <a:off x="8638721" y="3824096"/>
            <a:ext cx="456918" cy="342692"/>
          </a:xfrm>
          <a:custGeom>
            <a:avLst/>
            <a:gdLst>
              <a:gd name="T0" fmla="*/ 201 w 274"/>
              <a:gd name="T1" fmla="*/ 25 h 213"/>
              <a:gd name="T2" fmla="*/ 185 w 274"/>
              <a:gd name="T3" fmla="*/ 29 h 213"/>
              <a:gd name="T4" fmla="*/ 229 w 274"/>
              <a:gd name="T5" fmla="*/ 180 h 213"/>
              <a:gd name="T6" fmla="*/ 45 w 274"/>
              <a:gd name="T7" fmla="*/ 180 h 213"/>
              <a:gd name="T8" fmla="*/ 88 w 274"/>
              <a:gd name="T9" fmla="*/ 29 h 213"/>
              <a:gd name="T10" fmla="*/ 72 w 274"/>
              <a:gd name="T11" fmla="*/ 25 h 213"/>
              <a:gd name="T12" fmla="*/ 64 w 274"/>
              <a:gd name="T13" fmla="*/ 39 h 213"/>
              <a:gd name="T14" fmla="*/ 137 w 274"/>
              <a:gd name="T15" fmla="*/ 58 h 213"/>
              <a:gd name="T16" fmla="*/ 210 w 274"/>
              <a:gd name="T17" fmla="*/ 39 h 213"/>
              <a:gd name="T18" fmla="*/ 201 w 274"/>
              <a:gd name="T19" fmla="*/ 25 h 213"/>
              <a:gd name="T20" fmla="*/ 185 w 274"/>
              <a:gd name="T21" fmla="*/ 29 h 213"/>
              <a:gd name="T22" fmla="*/ 201 w 274"/>
              <a:gd name="T23" fmla="*/ 25 h 213"/>
              <a:gd name="T24" fmla="*/ 193 w 274"/>
              <a:gd name="T25" fmla="*/ 10 h 213"/>
              <a:gd name="T26" fmla="*/ 137 w 274"/>
              <a:gd name="T27" fmla="*/ 25 h 213"/>
              <a:gd name="T28" fmla="*/ 81 w 274"/>
              <a:gd name="T29" fmla="*/ 10 h 213"/>
              <a:gd name="T30" fmla="*/ 62 w 274"/>
              <a:gd name="T31" fmla="*/ 0 h 213"/>
              <a:gd name="T32" fmla="*/ 0 w 274"/>
              <a:gd name="T33" fmla="*/ 213 h 213"/>
              <a:gd name="T34" fmla="*/ 274 w 274"/>
              <a:gd name="T35" fmla="*/ 213 h 213"/>
              <a:gd name="T36" fmla="*/ 211 w 274"/>
              <a:gd name="T37" fmla="*/ 0 h 213"/>
              <a:gd name="T38" fmla="*/ 193 w 274"/>
              <a:gd name="T39" fmla="*/ 10 h 213"/>
              <a:gd name="T40" fmla="*/ 201 w 274"/>
              <a:gd name="T41" fmla="*/ 25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4" h="213">
                <a:moveTo>
                  <a:pt x="201" y="25"/>
                </a:moveTo>
                <a:lnTo>
                  <a:pt x="185" y="29"/>
                </a:lnTo>
                <a:lnTo>
                  <a:pt x="229" y="180"/>
                </a:lnTo>
                <a:lnTo>
                  <a:pt x="45" y="180"/>
                </a:lnTo>
                <a:lnTo>
                  <a:pt x="88" y="29"/>
                </a:lnTo>
                <a:lnTo>
                  <a:pt x="72" y="25"/>
                </a:lnTo>
                <a:lnTo>
                  <a:pt x="64" y="39"/>
                </a:lnTo>
                <a:cubicBezTo>
                  <a:pt x="85" y="51"/>
                  <a:pt x="110" y="58"/>
                  <a:pt x="137" y="58"/>
                </a:cubicBezTo>
                <a:cubicBezTo>
                  <a:pt x="163" y="58"/>
                  <a:pt x="188" y="51"/>
                  <a:pt x="210" y="39"/>
                </a:cubicBezTo>
                <a:lnTo>
                  <a:pt x="201" y="25"/>
                </a:lnTo>
                <a:lnTo>
                  <a:pt x="185" y="29"/>
                </a:lnTo>
                <a:lnTo>
                  <a:pt x="201" y="25"/>
                </a:lnTo>
                <a:lnTo>
                  <a:pt x="193" y="10"/>
                </a:lnTo>
                <a:cubicBezTo>
                  <a:pt x="176" y="20"/>
                  <a:pt x="157" y="25"/>
                  <a:pt x="137" y="25"/>
                </a:cubicBezTo>
                <a:cubicBezTo>
                  <a:pt x="116" y="25"/>
                  <a:pt x="97" y="20"/>
                  <a:pt x="81" y="10"/>
                </a:cubicBezTo>
                <a:lnTo>
                  <a:pt x="62" y="0"/>
                </a:lnTo>
                <a:lnTo>
                  <a:pt x="0" y="213"/>
                </a:lnTo>
                <a:lnTo>
                  <a:pt x="274" y="213"/>
                </a:lnTo>
                <a:lnTo>
                  <a:pt x="211" y="0"/>
                </a:lnTo>
                <a:lnTo>
                  <a:pt x="193" y="10"/>
                </a:lnTo>
                <a:lnTo>
                  <a:pt x="201" y="25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SpPr>
            <a:spLocks/>
          </xdr:cNvSpPr>
        </xdr:nvSpPr>
        <xdr:spPr bwMode="auto">
          <a:xfrm>
            <a:off x="8626025" y="3430636"/>
            <a:ext cx="482302" cy="482302"/>
          </a:xfrm>
          <a:custGeom>
            <a:avLst/>
            <a:gdLst>
              <a:gd name="T0" fmla="*/ 275 w 292"/>
              <a:gd name="T1" fmla="*/ 146 h 292"/>
              <a:gd name="T2" fmla="*/ 259 w 292"/>
              <a:gd name="T3" fmla="*/ 146 h 292"/>
              <a:gd name="T4" fmla="*/ 202 w 292"/>
              <a:gd name="T5" fmla="*/ 244 h 292"/>
              <a:gd name="T6" fmla="*/ 202 w 292"/>
              <a:gd name="T7" fmla="*/ 244 h 292"/>
              <a:gd name="T8" fmla="*/ 146 w 292"/>
              <a:gd name="T9" fmla="*/ 259 h 292"/>
              <a:gd name="T10" fmla="*/ 90 w 292"/>
              <a:gd name="T11" fmla="*/ 244 h 292"/>
              <a:gd name="T12" fmla="*/ 90 w 292"/>
              <a:gd name="T13" fmla="*/ 244 h 292"/>
              <a:gd name="T14" fmla="*/ 33 w 292"/>
              <a:gd name="T15" fmla="*/ 146 h 292"/>
              <a:gd name="T16" fmla="*/ 37 w 292"/>
              <a:gd name="T17" fmla="*/ 117 h 292"/>
              <a:gd name="T18" fmla="*/ 37 w 292"/>
              <a:gd name="T19" fmla="*/ 117 h 292"/>
              <a:gd name="T20" fmla="*/ 116 w 292"/>
              <a:gd name="T21" fmla="*/ 37 h 292"/>
              <a:gd name="T22" fmla="*/ 146 w 292"/>
              <a:gd name="T23" fmla="*/ 33 h 292"/>
              <a:gd name="T24" fmla="*/ 226 w 292"/>
              <a:gd name="T25" fmla="*/ 66 h 292"/>
              <a:gd name="T26" fmla="*/ 259 w 292"/>
              <a:gd name="T27" fmla="*/ 146 h 292"/>
              <a:gd name="T28" fmla="*/ 275 w 292"/>
              <a:gd name="T29" fmla="*/ 146 h 292"/>
              <a:gd name="T30" fmla="*/ 292 w 292"/>
              <a:gd name="T31" fmla="*/ 146 h 292"/>
              <a:gd name="T32" fmla="*/ 146 w 292"/>
              <a:gd name="T33" fmla="*/ 0 h 292"/>
              <a:gd name="T34" fmla="*/ 108 w 292"/>
              <a:gd name="T35" fmla="*/ 5 h 292"/>
              <a:gd name="T36" fmla="*/ 5 w 292"/>
              <a:gd name="T37" fmla="*/ 108 h 292"/>
              <a:gd name="T38" fmla="*/ 5 w 292"/>
              <a:gd name="T39" fmla="*/ 108 h 292"/>
              <a:gd name="T40" fmla="*/ 0 w 292"/>
              <a:gd name="T41" fmla="*/ 146 h 292"/>
              <a:gd name="T42" fmla="*/ 73 w 292"/>
              <a:gd name="T43" fmla="*/ 273 h 292"/>
              <a:gd name="T44" fmla="*/ 73 w 292"/>
              <a:gd name="T45" fmla="*/ 273 h 292"/>
              <a:gd name="T46" fmla="*/ 146 w 292"/>
              <a:gd name="T47" fmla="*/ 292 h 292"/>
              <a:gd name="T48" fmla="*/ 219 w 292"/>
              <a:gd name="T49" fmla="*/ 273 h 292"/>
              <a:gd name="T50" fmla="*/ 219 w 292"/>
              <a:gd name="T51" fmla="*/ 273 h 292"/>
              <a:gd name="T52" fmla="*/ 292 w 292"/>
              <a:gd name="T53" fmla="*/ 146 h 292"/>
              <a:gd name="T54" fmla="*/ 275 w 292"/>
              <a:gd name="T55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292">
                <a:moveTo>
                  <a:pt x="275" y="146"/>
                </a:moveTo>
                <a:lnTo>
                  <a:pt x="259" y="146"/>
                </a:lnTo>
                <a:cubicBezTo>
                  <a:pt x="259" y="188"/>
                  <a:pt x="236" y="225"/>
                  <a:pt x="202" y="244"/>
                </a:cubicBezTo>
                <a:lnTo>
                  <a:pt x="202" y="244"/>
                </a:lnTo>
                <a:cubicBezTo>
                  <a:pt x="185" y="254"/>
                  <a:pt x="166" y="259"/>
                  <a:pt x="146" y="259"/>
                </a:cubicBezTo>
                <a:cubicBezTo>
                  <a:pt x="125" y="259"/>
                  <a:pt x="106" y="254"/>
                  <a:pt x="90" y="244"/>
                </a:cubicBezTo>
                <a:lnTo>
                  <a:pt x="90" y="244"/>
                </a:lnTo>
                <a:cubicBezTo>
                  <a:pt x="56" y="225"/>
                  <a:pt x="33" y="188"/>
                  <a:pt x="33" y="146"/>
                </a:cubicBezTo>
                <a:cubicBezTo>
                  <a:pt x="33" y="136"/>
                  <a:pt x="34" y="126"/>
                  <a:pt x="37" y="117"/>
                </a:cubicBezTo>
                <a:lnTo>
                  <a:pt x="37" y="117"/>
                </a:lnTo>
                <a:cubicBezTo>
                  <a:pt x="47" y="78"/>
                  <a:pt x="78" y="48"/>
                  <a:pt x="116" y="37"/>
                </a:cubicBezTo>
                <a:cubicBezTo>
                  <a:pt x="126" y="35"/>
                  <a:pt x="136" y="33"/>
                  <a:pt x="146" y="33"/>
                </a:cubicBezTo>
                <a:cubicBezTo>
                  <a:pt x="177" y="33"/>
                  <a:pt x="205" y="46"/>
                  <a:pt x="226" y="66"/>
                </a:cubicBezTo>
                <a:cubicBezTo>
                  <a:pt x="246" y="87"/>
                  <a:pt x="259" y="115"/>
                  <a:pt x="259" y="146"/>
                </a:cubicBezTo>
                <a:lnTo>
                  <a:pt x="275" y="146"/>
                </a:lnTo>
                <a:lnTo>
                  <a:pt x="292" y="146"/>
                </a:lnTo>
                <a:cubicBezTo>
                  <a:pt x="292" y="65"/>
                  <a:pt x="227" y="0"/>
                  <a:pt x="146" y="0"/>
                </a:cubicBezTo>
                <a:cubicBezTo>
                  <a:pt x="133" y="0"/>
                  <a:pt x="120" y="2"/>
                  <a:pt x="108" y="5"/>
                </a:cubicBezTo>
                <a:cubicBezTo>
                  <a:pt x="58" y="19"/>
                  <a:pt x="18" y="58"/>
                  <a:pt x="5" y="108"/>
                </a:cubicBezTo>
                <a:lnTo>
                  <a:pt x="5" y="108"/>
                </a:lnTo>
                <a:cubicBezTo>
                  <a:pt x="1" y="120"/>
                  <a:pt x="0" y="133"/>
                  <a:pt x="0" y="146"/>
                </a:cubicBezTo>
                <a:cubicBezTo>
                  <a:pt x="0" y="200"/>
                  <a:pt x="29" y="248"/>
                  <a:pt x="73" y="273"/>
                </a:cubicBezTo>
                <a:lnTo>
                  <a:pt x="73" y="273"/>
                </a:lnTo>
                <a:cubicBezTo>
                  <a:pt x="94" y="285"/>
                  <a:pt x="119" y="292"/>
                  <a:pt x="146" y="292"/>
                </a:cubicBezTo>
                <a:cubicBezTo>
                  <a:pt x="172" y="292"/>
                  <a:pt x="197" y="285"/>
                  <a:pt x="219" y="273"/>
                </a:cubicBezTo>
                <a:lnTo>
                  <a:pt x="219" y="273"/>
                </a:lnTo>
                <a:cubicBezTo>
                  <a:pt x="262" y="248"/>
                  <a:pt x="292" y="200"/>
                  <a:pt x="292" y="146"/>
                </a:cubicBezTo>
                <a:lnTo>
                  <a:pt x="275" y="146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SpPr>
            <a:spLocks/>
          </xdr:cNvSpPr>
        </xdr:nvSpPr>
        <xdr:spPr bwMode="auto">
          <a:xfrm>
            <a:off x="8169108" y="2973718"/>
            <a:ext cx="482302" cy="482302"/>
          </a:xfrm>
          <a:custGeom>
            <a:avLst/>
            <a:gdLst>
              <a:gd name="T0" fmla="*/ 276 w 293"/>
              <a:gd name="T1" fmla="*/ 146 h 292"/>
              <a:gd name="T2" fmla="*/ 259 w 293"/>
              <a:gd name="T3" fmla="*/ 146 h 292"/>
              <a:gd name="T4" fmla="*/ 255 w 293"/>
              <a:gd name="T5" fmla="*/ 175 h 292"/>
              <a:gd name="T6" fmla="*/ 176 w 293"/>
              <a:gd name="T7" fmla="*/ 255 h 292"/>
              <a:gd name="T8" fmla="*/ 176 w 293"/>
              <a:gd name="T9" fmla="*/ 255 h 292"/>
              <a:gd name="T10" fmla="*/ 146 w 293"/>
              <a:gd name="T11" fmla="*/ 259 h 292"/>
              <a:gd name="T12" fmla="*/ 105 w 293"/>
              <a:gd name="T13" fmla="*/ 251 h 292"/>
              <a:gd name="T14" fmla="*/ 105 w 293"/>
              <a:gd name="T15" fmla="*/ 251 h 292"/>
              <a:gd name="T16" fmla="*/ 35 w 293"/>
              <a:gd name="T17" fmla="*/ 163 h 292"/>
              <a:gd name="T18" fmla="*/ 33 w 293"/>
              <a:gd name="T19" fmla="*/ 146 h 292"/>
              <a:gd name="T20" fmla="*/ 67 w 293"/>
              <a:gd name="T21" fmla="*/ 66 h 292"/>
              <a:gd name="T22" fmla="*/ 146 w 293"/>
              <a:gd name="T23" fmla="*/ 33 h 292"/>
              <a:gd name="T24" fmla="*/ 226 w 293"/>
              <a:gd name="T25" fmla="*/ 66 h 292"/>
              <a:gd name="T26" fmla="*/ 259 w 293"/>
              <a:gd name="T27" fmla="*/ 146 h 292"/>
              <a:gd name="T28" fmla="*/ 276 w 293"/>
              <a:gd name="T29" fmla="*/ 146 h 292"/>
              <a:gd name="T30" fmla="*/ 293 w 293"/>
              <a:gd name="T31" fmla="*/ 146 h 292"/>
              <a:gd name="T32" fmla="*/ 146 w 293"/>
              <a:gd name="T33" fmla="*/ 0 h 292"/>
              <a:gd name="T34" fmla="*/ 0 w 293"/>
              <a:gd name="T35" fmla="*/ 146 h 292"/>
              <a:gd name="T36" fmla="*/ 2 w 293"/>
              <a:gd name="T37" fmla="*/ 168 h 292"/>
              <a:gd name="T38" fmla="*/ 92 w 293"/>
              <a:gd name="T39" fmla="*/ 282 h 292"/>
              <a:gd name="T40" fmla="*/ 92 w 293"/>
              <a:gd name="T41" fmla="*/ 282 h 292"/>
              <a:gd name="T42" fmla="*/ 146 w 293"/>
              <a:gd name="T43" fmla="*/ 292 h 292"/>
              <a:gd name="T44" fmla="*/ 185 w 293"/>
              <a:gd name="T45" fmla="*/ 287 h 292"/>
              <a:gd name="T46" fmla="*/ 185 w 293"/>
              <a:gd name="T47" fmla="*/ 287 h 292"/>
              <a:gd name="T48" fmla="*/ 288 w 293"/>
              <a:gd name="T49" fmla="*/ 184 h 292"/>
              <a:gd name="T50" fmla="*/ 293 w 293"/>
              <a:gd name="T51" fmla="*/ 146 h 292"/>
              <a:gd name="T52" fmla="*/ 276 w 293"/>
              <a:gd name="T53" fmla="*/ 146 h 2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293" h="292">
                <a:moveTo>
                  <a:pt x="276" y="146"/>
                </a:moveTo>
                <a:lnTo>
                  <a:pt x="259" y="146"/>
                </a:lnTo>
                <a:cubicBezTo>
                  <a:pt x="259" y="156"/>
                  <a:pt x="258" y="166"/>
                  <a:pt x="255" y="175"/>
                </a:cubicBezTo>
                <a:cubicBezTo>
                  <a:pt x="245" y="214"/>
                  <a:pt x="215" y="244"/>
                  <a:pt x="176" y="255"/>
                </a:cubicBezTo>
                <a:lnTo>
                  <a:pt x="176" y="255"/>
                </a:lnTo>
                <a:cubicBezTo>
                  <a:pt x="167" y="257"/>
                  <a:pt x="157" y="259"/>
                  <a:pt x="146" y="259"/>
                </a:cubicBezTo>
                <a:cubicBezTo>
                  <a:pt x="132" y="259"/>
                  <a:pt x="118" y="256"/>
                  <a:pt x="105" y="251"/>
                </a:cubicBezTo>
                <a:lnTo>
                  <a:pt x="105" y="251"/>
                </a:lnTo>
                <a:cubicBezTo>
                  <a:pt x="68" y="236"/>
                  <a:pt x="41" y="203"/>
                  <a:pt x="35" y="163"/>
                </a:cubicBezTo>
                <a:cubicBezTo>
                  <a:pt x="34" y="158"/>
                  <a:pt x="33" y="152"/>
                  <a:pt x="33" y="146"/>
                </a:cubicBezTo>
                <a:cubicBezTo>
                  <a:pt x="34" y="115"/>
                  <a:pt x="46" y="86"/>
                  <a:pt x="67" y="66"/>
                </a:cubicBezTo>
                <a:cubicBezTo>
                  <a:pt x="87" y="46"/>
                  <a:pt x="115" y="33"/>
                  <a:pt x="146" y="33"/>
                </a:cubicBezTo>
                <a:cubicBezTo>
                  <a:pt x="178" y="33"/>
                  <a:pt x="206" y="46"/>
                  <a:pt x="226" y="66"/>
                </a:cubicBezTo>
                <a:cubicBezTo>
                  <a:pt x="247" y="86"/>
                  <a:pt x="259" y="115"/>
                  <a:pt x="259" y="146"/>
                </a:cubicBezTo>
                <a:lnTo>
                  <a:pt x="276" y="146"/>
                </a:lnTo>
                <a:lnTo>
                  <a:pt x="293" y="146"/>
                </a:lnTo>
                <a:cubicBezTo>
                  <a:pt x="293" y="65"/>
                  <a:pt x="227" y="0"/>
                  <a:pt x="146" y="0"/>
                </a:cubicBezTo>
                <a:cubicBezTo>
                  <a:pt x="66" y="0"/>
                  <a:pt x="0" y="65"/>
                  <a:pt x="0" y="146"/>
                </a:cubicBezTo>
                <a:cubicBezTo>
                  <a:pt x="0" y="153"/>
                  <a:pt x="1" y="161"/>
                  <a:pt x="2" y="168"/>
                </a:cubicBezTo>
                <a:cubicBezTo>
                  <a:pt x="10" y="220"/>
                  <a:pt x="45" y="263"/>
                  <a:pt x="92" y="282"/>
                </a:cubicBezTo>
                <a:lnTo>
                  <a:pt x="92" y="282"/>
                </a:lnTo>
                <a:cubicBezTo>
                  <a:pt x="109" y="288"/>
                  <a:pt x="127" y="292"/>
                  <a:pt x="146" y="292"/>
                </a:cubicBezTo>
                <a:cubicBezTo>
                  <a:pt x="160" y="292"/>
                  <a:pt x="173" y="290"/>
                  <a:pt x="185" y="287"/>
                </a:cubicBezTo>
                <a:lnTo>
                  <a:pt x="185" y="287"/>
                </a:lnTo>
                <a:cubicBezTo>
                  <a:pt x="235" y="273"/>
                  <a:pt x="274" y="234"/>
                  <a:pt x="288" y="184"/>
                </a:cubicBezTo>
                <a:cubicBezTo>
                  <a:pt x="291" y="172"/>
                  <a:pt x="293" y="159"/>
                  <a:pt x="293" y="146"/>
                </a:cubicBezTo>
                <a:lnTo>
                  <a:pt x="276" y="14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SpPr>
            <a:spLocks/>
          </xdr:cNvSpPr>
        </xdr:nvSpPr>
        <xdr:spPr bwMode="auto">
          <a:xfrm>
            <a:off x="7382194" y="4141396"/>
            <a:ext cx="444229" cy="355380"/>
          </a:xfrm>
          <a:custGeom>
            <a:avLst/>
            <a:gdLst>
              <a:gd name="T0" fmla="*/ 225 w 275"/>
              <a:gd name="T1" fmla="*/ 197 h 214"/>
              <a:gd name="T2" fmla="*/ 225 w 275"/>
              <a:gd name="T3" fmla="*/ 181 h 214"/>
              <a:gd name="T4" fmla="*/ 50 w 275"/>
              <a:gd name="T5" fmla="*/ 181 h 214"/>
              <a:gd name="T6" fmla="*/ 33 w 275"/>
              <a:gd name="T7" fmla="*/ 164 h 214"/>
              <a:gd name="T8" fmla="*/ 33 w 275"/>
              <a:gd name="T9" fmla="*/ 50 h 214"/>
              <a:gd name="T10" fmla="*/ 50 w 275"/>
              <a:gd name="T11" fmla="*/ 33 h 214"/>
              <a:gd name="T12" fmla="*/ 225 w 275"/>
              <a:gd name="T13" fmla="*/ 33 h 214"/>
              <a:gd name="T14" fmla="*/ 242 w 275"/>
              <a:gd name="T15" fmla="*/ 50 h 214"/>
              <a:gd name="T16" fmla="*/ 242 w 275"/>
              <a:gd name="T17" fmla="*/ 164 h 214"/>
              <a:gd name="T18" fmla="*/ 225 w 275"/>
              <a:gd name="T19" fmla="*/ 181 h 214"/>
              <a:gd name="T20" fmla="*/ 225 w 275"/>
              <a:gd name="T21" fmla="*/ 197 h 214"/>
              <a:gd name="T22" fmla="*/ 225 w 275"/>
              <a:gd name="T23" fmla="*/ 214 h 214"/>
              <a:gd name="T24" fmla="*/ 275 w 275"/>
              <a:gd name="T25" fmla="*/ 164 h 214"/>
              <a:gd name="T26" fmla="*/ 275 w 275"/>
              <a:gd name="T27" fmla="*/ 50 h 214"/>
              <a:gd name="T28" fmla="*/ 225 w 275"/>
              <a:gd name="T29" fmla="*/ 0 h 214"/>
              <a:gd name="T30" fmla="*/ 50 w 275"/>
              <a:gd name="T31" fmla="*/ 0 h 214"/>
              <a:gd name="T32" fmla="*/ 0 w 275"/>
              <a:gd name="T33" fmla="*/ 50 h 214"/>
              <a:gd name="T34" fmla="*/ 0 w 275"/>
              <a:gd name="T35" fmla="*/ 164 h 214"/>
              <a:gd name="T36" fmla="*/ 50 w 275"/>
              <a:gd name="T37" fmla="*/ 214 h 214"/>
              <a:gd name="T38" fmla="*/ 225 w 275"/>
              <a:gd name="T39" fmla="*/ 214 h 214"/>
              <a:gd name="T40" fmla="*/ 225 w 275"/>
              <a:gd name="T41" fmla="*/ 197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75" h="214">
                <a:moveTo>
                  <a:pt x="225" y="197"/>
                </a:moveTo>
                <a:lnTo>
                  <a:pt x="225" y="181"/>
                </a:lnTo>
                <a:lnTo>
                  <a:pt x="50" y="181"/>
                </a:lnTo>
                <a:cubicBezTo>
                  <a:pt x="40" y="181"/>
                  <a:pt x="33" y="173"/>
                  <a:pt x="33" y="164"/>
                </a:cubicBezTo>
                <a:lnTo>
                  <a:pt x="33" y="50"/>
                </a:lnTo>
                <a:cubicBezTo>
                  <a:pt x="33" y="41"/>
                  <a:pt x="40" y="33"/>
                  <a:pt x="50" y="33"/>
                </a:cubicBezTo>
                <a:lnTo>
                  <a:pt x="225" y="33"/>
                </a:lnTo>
                <a:cubicBezTo>
                  <a:pt x="234" y="33"/>
                  <a:pt x="242" y="41"/>
                  <a:pt x="242" y="50"/>
                </a:cubicBezTo>
                <a:lnTo>
                  <a:pt x="242" y="164"/>
                </a:lnTo>
                <a:cubicBezTo>
                  <a:pt x="242" y="173"/>
                  <a:pt x="234" y="181"/>
                  <a:pt x="225" y="181"/>
                </a:cubicBezTo>
                <a:lnTo>
                  <a:pt x="225" y="197"/>
                </a:lnTo>
                <a:lnTo>
                  <a:pt x="225" y="214"/>
                </a:lnTo>
                <a:cubicBezTo>
                  <a:pt x="253" y="214"/>
                  <a:pt x="275" y="192"/>
                  <a:pt x="275" y="164"/>
                </a:cubicBezTo>
                <a:lnTo>
                  <a:pt x="275" y="50"/>
                </a:lnTo>
                <a:cubicBezTo>
                  <a:pt x="275" y="22"/>
                  <a:pt x="253" y="0"/>
                  <a:pt x="225" y="0"/>
                </a:cubicBezTo>
                <a:lnTo>
                  <a:pt x="50" y="0"/>
                </a:lnTo>
                <a:cubicBezTo>
                  <a:pt x="22" y="0"/>
                  <a:pt x="0" y="22"/>
                  <a:pt x="0" y="50"/>
                </a:cubicBezTo>
                <a:lnTo>
                  <a:pt x="0" y="164"/>
                </a:lnTo>
                <a:cubicBezTo>
                  <a:pt x="0" y="192"/>
                  <a:pt x="22" y="214"/>
                  <a:pt x="50" y="214"/>
                </a:cubicBezTo>
                <a:lnTo>
                  <a:pt x="225" y="214"/>
                </a:lnTo>
                <a:lnTo>
                  <a:pt x="225" y="197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00000000-0008-0000-05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7572580" y="4014475"/>
            <a:ext cx="63465" cy="76153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00000000-0008-0000-0500-000049000000}"/>
              </a:ext>
            </a:extLst>
          </xdr:cNvPr>
          <xdr:cNvSpPr>
            <a:spLocks/>
          </xdr:cNvSpPr>
        </xdr:nvSpPr>
        <xdr:spPr bwMode="auto">
          <a:xfrm>
            <a:off x="7471043" y="3798712"/>
            <a:ext cx="203074" cy="190386"/>
          </a:xfrm>
          <a:custGeom>
            <a:avLst/>
            <a:gdLst>
              <a:gd name="T0" fmla="*/ 21 w 128"/>
              <a:gd name="T1" fmla="*/ 112 h 112"/>
              <a:gd name="T2" fmla="*/ 128 w 128"/>
              <a:gd name="T3" fmla="*/ 26 h 112"/>
              <a:gd name="T4" fmla="*/ 107 w 128"/>
              <a:gd name="T5" fmla="*/ 0 h 112"/>
              <a:gd name="T6" fmla="*/ 0 w 128"/>
              <a:gd name="T7" fmla="*/ 86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28" h="112">
                <a:moveTo>
                  <a:pt x="21" y="112"/>
                </a:moveTo>
                <a:lnTo>
                  <a:pt x="128" y="26"/>
                </a:lnTo>
                <a:lnTo>
                  <a:pt x="107" y="0"/>
                </a:lnTo>
                <a:lnTo>
                  <a:pt x="0" y="8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00000000-0008-0000-0500-00004A000000}"/>
              </a:ext>
            </a:extLst>
          </xdr:cNvPr>
          <xdr:cNvSpPr>
            <a:spLocks/>
          </xdr:cNvSpPr>
        </xdr:nvSpPr>
        <xdr:spPr bwMode="auto">
          <a:xfrm>
            <a:off x="7813727" y="3989090"/>
            <a:ext cx="139618" cy="126922"/>
          </a:xfrm>
          <a:custGeom>
            <a:avLst/>
            <a:gdLst>
              <a:gd name="T0" fmla="*/ 21 w 85"/>
              <a:gd name="T1" fmla="*/ 78 h 78"/>
              <a:gd name="T2" fmla="*/ 85 w 85"/>
              <a:gd name="T3" fmla="*/ 26 h 78"/>
              <a:gd name="T4" fmla="*/ 64 w 85"/>
              <a:gd name="T5" fmla="*/ 0 h 78"/>
              <a:gd name="T6" fmla="*/ 0 w 85"/>
              <a:gd name="T7" fmla="*/ 52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5" h="78">
                <a:moveTo>
                  <a:pt x="21" y="78"/>
                </a:moveTo>
                <a:lnTo>
                  <a:pt x="85" y="26"/>
                </a:lnTo>
                <a:lnTo>
                  <a:pt x="64" y="0"/>
                </a:lnTo>
                <a:lnTo>
                  <a:pt x="0" y="5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SpPr>
            <a:spLocks/>
          </xdr:cNvSpPr>
        </xdr:nvSpPr>
        <xdr:spPr bwMode="auto">
          <a:xfrm>
            <a:off x="7255272" y="3989090"/>
            <a:ext cx="165002" cy="152306"/>
          </a:xfrm>
          <a:custGeom>
            <a:avLst/>
            <a:gdLst>
              <a:gd name="T0" fmla="*/ 103 w 103"/>
              <a:gd name="T1" fmla="*/ 71 h 96"/>
              <a:gd name="T2" fmla="*/ 22 w 103"/>
              <a:gd name="T3" fmla="*/ 0 h 96"/>
              <a:gd name="T4" fmla="*/ 0 w 103"/>
              <a:gd name="T5" fmla="*/ 25 h 96"/>
              <a:gd name="T6" fmla="*/ 81 w 103"/>
              <a:gd name="T7" fmla="*/ 96 h 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03" h="96">
                <a:moveTo>
                  <a:pt x="103" y="71"/>
                </a:moveTo>
                <a:lnTo>
                  <a:pt x="22" y="0"/>
                </a:lnTo>
                <a:lnTo>
                  <a:pt x="0" y="25"/>
                </a:lnTo>
                <a:lnTo>
                  <a:pt x="81" y="96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500-00004C000000}"/>
              </a:ext>
            </a:extLst>
          </xdr:cNvPr>
          <xdr:cNvSpPr>
            <a:spLocks/>
          </xdr:cNvSpPr>
        </xdr:nvSpPr>
        <xdr:spPr bwMode="auto">
          <a:xfrm>
            <a:off x="8486415" y="4116012"/>
            <a:ext cx="786914" cy="215771"/>
          </a:xfrm>
          <a:custGeom>
            <a:avLst/>
            <a:gdLst>
              <a:gd name="T0" fmla="*/ 60 w 62"/>
              <a:gd name="T1" fmla="*/ 15 h 17"/>
              <a:gd name="T2" fmla="*/ 60 w 62"/>
              <a:gd name="T3" fmla="*/ 13 h 17"/>
              <a:gd name="T4" fmla="*/ 5 w 62"/>
              <a:gd name="T5" fmla="*/ 13 h 17"/>
              <a:gd name="T6" fmla="*/ 5 w 62"/>
              <a:gd name="T7" fmla="*/ 4 h 17"/>
              <a:gd name="T8" fmla="*/ 58 w 62"/>
              <a:gd name="T9" fmla="*/ 4 h 17"/>
              <a:gd name="T10" fmla="*/ 58 w 62"/>
              <a:gd name="T11" fmla="*/ 15 h 17"/>
              <a:gd name="T12" fmla="*/ 60 w 62"/>
              <a:gd name="T13" fmla="*/ 15 h 17"/>
              <a:gd name="T14" fmla="*/ 60 w 62"/>
              <a:gd name="T15" fmla="*/ 13 h 17"/>
              <a:gd name="T16" fmla="*/ 60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60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60" y="15"/>
                </a:moveTo>
                <a:lnTo>
                  <a:pt x="60" y="13"/>
                </a:lnTo>
                <a:lnTo>
                  <a:pt x="5" y="13"/>
                </a:lnTo>
                <a:lnTo>
                  <a:pt x="5" y="4"/>
                </a:lnTo>
                <a:lnTo>
                  <a:pt x="58" y="4"/>
                </a:lnTo>
                <a:lnTo>
                  <a:pt x="58" y="15"/>
                </a:lnTo>
                <a:lnTo>
                  <a:pt x="60" y="15"/>
                </a:lnTo>
                <a:lnTo>
                  <a:pt x="60" y="13"/>
                </a:lnTo>
                <a:lnTo>
                  <a:pt x="60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60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SpPr>
            <a:spLocks/>
          </xdr:cNvSpPr>
        </xdr:nvSpPr>
        <xdr:spPr bwMode="auto">
          <a:xfrm>
            <a:off x="7217200" y="4446008"/>
            <a:ext cx="786914" cy="215771"/>
          </a:xfrm>
          <a:custGeom>
            <a:avLst/>
            <a:gdLst>
              <a:gd name="T0" fmla="*/ 59 w 62"/>
              <a:gd name="T1" fmla="*/ 15 h 17"/>
              <a:gd name="T2" fmla="*/ 59 w 62"/>
              <a:gd name="T3" fmla="*/ 13 h 17"/>
              <a:gd name="T4" fmla="*/ 4 w 62"/>
              <a:gd name="T5" fmla="*/ 13 h 17"/>
              <a:gd name="T6" fmla="*/ 4 w 62"/>
              <a:gd name="T7" fmla="*/ 4 h 17"/>
              <a:gd name="T8" fmla="*/ 57 w 62"/>
              <a:gd name="T9" fmla="*/ 4 h 17"/>
              <a:gd name="T10" fmla="*/ 57 w 62"/>
              <a:gd name="T11" fmla="*/ 15 h 17"/>
              <a:gd name="T12" fmla="*/ 59 w 62"/>
              <a:gd name="T13" fmla="*/ 15 h 17"/>
              <a:gd name="T14" fmla="*/ 59 w 62"/>
              <a:gd name="T15" fmla="*/ 13 h 17"/>
              <a:gd name="T16" fmla="*/ 59 w 62"/>
              <a:gd name="T17" fmla="*/ 15 h 17"/>
              <a:gd name="T18" fmla="*/ 62 w 62"/>
              <a:gd name="T19" fmla="*/ 15 h 17"/>
              <a:gd name="T20" fmla="*/ 62 w 62"/>
              <a:gd name="T21" fmla="*/ 0 h 17"/>
              <a:gd name="T22" fmla="*/ 0 w 62"/>
              <a:gd name="T23" fmla="*/ 0 h 17"/>
              <a:gd name="T24" fmla="*/ 0 w 62"/>
              <a:gd name="T25" fmla="*/ 17 h 17"/>
              <a:gd name="T26" fmla="*/ 62 w 62"/>
              <a:gd name="T27" fmla="*/ 17 h 17"/>
              <a:gd name="T28" fmla="*/ 62 w 62"/>
              <a:gd name="T29" fmla="*/ 15 h 17"/>
              <a:gd name="T30" fmla="*/ 59 w 62"/>
              <a:gd name="T31" fmla="*/ 15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62" h="17">
                <a:moveTo>
                  <a:pt x="59" y="15"/>
                </a:moveTo>
                <a:lnTo>
                  <a:pt x="59" y="13"/>
                </a:lnTo>
                <a:lnTo>
                  <a:pt x="4" y="13"/>
                </a:lnTo>
                <a:lnTo>
                  <a:pt x="4" y="4"/>
                </a:lnTo>
                <a:lnTo>
                  <a:pt x="57" y="4"/>
                </a:lnTo>
                <a:lnTo>
                  <a:pt x="57" y="15"/>
                </a:lnTo>
                <a:lnTo>
                  <a:pt x="59" y="15"/>
                </a:lnTo>
                <a:lnTo>
                  <a:pt x="59" y="13"/>
                </a:lnTo>
                <a:lnTo>
                  <a:pt x="59" y="15"/>
                </a:lnTo>
                <a:lnTo>
                  <a:pt x="62" y="15"/>
                </a:lnTo>
                <a:lnTo>
                  <a:pt x="62" y="0"/>
                </a:lnTo>
                <a:lnTo>
                  <a:pt x="0" y="0"/>
                </a:lnTo>
                <a:lnTo>
                  <a:pt x="0" y="17"/>
                </a:lnTo>
                <a:lnTo>
                  <a:pt x="62" y="17"/>
                </a:lnTo>
                <a:lnTo>
                  <a:pt x="62" y="15"/>
                </a:lnTo>
                <a:lnTo>
                  <a:pt x="59" y="15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500-00004E000000}"/>
              </a:ext>
            </a:extLst>
          </xdr:cNvPr>
          <xdr:cNvSpPr>
            <a:spLocks/>
          </xdr:cNvSpPr>
        </xdr:nvSpPr>
        <xdr:spPr bwMode="auto">
          <a:xfrm>
            <a:off x="8524488" y="4281014"/>
            <a:ext cx="710761" cy="926531"/>
          </a:xfrm>
          <a:custGeom>
            <a:avLst/>
            <a:gdLst>
              <a:gd name="T0" fmla="*/ 47 w 56"/>
              <a:gd name="T1" fmla="*/ 20 h 73"/>
              <a:gd name="T2" fmla="*/ 49 w 56"/>
              <a:gd name="T3" fmla="*/ 21 h 73"/>
              <a:gd name="T4" fmla="*/ 52 w 56"/>
              <a:gd name="T5" fmla="*/ 0 h 73"/>
              <a:gd name="T6" fmla="*/ 4 w 56"/>
              <a:gd name="T7" fmla="*/ 0 h 73"/>
              <a:gd name="T8" fmla="*/ 8 w 56"/>
              <a:gd name="T9" fmla="*/ 20 h 73"/>
              <a:gd name="T10" fmla="*/ 0 w 56"/>
              <a:gd name="T11" fmla="*/ 46 h 73"/>
              <a:gd name="T12" fmla="*/ 0 w 56"/>
              <a:gd name="T13" fmla="*/ 73 h 73"/>
              <a:gd name="T14" fmla="*/ 56 w 56"/>
              <a:gd name="T15" fmla="*/ 73 h 73"/>
              <a:gd name="T16" fmla="*/ 56 w 56"/>
              <a:gd name="T17" fmla="*/ 46 h 73"/>
              <a:gd name="T18" fmla="*/ 49 w 56"/>
              <a:gd name="T19" fmla="*/ 20 h 73"/>
              <a:gd name="T20" fmla="*/ 47 w 56"/>
              <a:gd name="T21" fmla="*/ 20 h 73"/>
              <a:gd name="T22" fmla="*/ 49 w 56"/>
              <a:gd name="T23" fmla="*/ 21 h 73"/>
              <a:gd name="T24" fmla="*/ 47 w 56"/>
              <a:gd name="T25" fmla="*/ 20 h 73"/>
              <a:gd name="T26" fmla="*/ 45 w 56"/>
              <a:gd name="T27" fmla="*/ 21 h 73"/>
              <a:gd name="T28" fmla="*/ 52 w 56"/>
              <a:gd name="T29" fmla="*/ 47 h 73"/>
              <a:gd name="T30" fmla="*/ 52 w 56"/>
              <a:gd name="T31" fmla="*/ 68 h 73"/>
              <a:gd name="T32" fmla="*/ 5 w 56"/>
              <a:gd name="T33" fmla="*/ 68 h 73"/>
              <a:gd name="T34" fmla="*/ 5 w 56"/>
              <a:gd name="T35" fmla="*/ 47 h 73"/>
              <a:gd name="T36" fmla="*/ 12 w 56"/>
              <a:gd name="T37" fmla="*/ 20 h 73"/>
              <a:gd name="T38" fmla="*/ 10 w 56"/>
              <a:gd name="T39" fmla="*/ 4 h 73"/>
              <a:gd name="T40" fmla="*/ 47 w 56"/>
              <a:gd name="T41" fmla="*/ 4 h 73"/>
              <a:gd name="T42" fmla="*/ 44 w 56"/>
              <a:gd name="T43" fmla="*/ 20 h 73"/>
              <a:gd name="T44" fmla="*/ 45 w 56"/>
              <a:gd name="T45" fmla="*/ 21 h 73"/>
              <a:gd name="T46" fmla="*/ 47 w 56"/>
              <a:gd name="T47" fmla="*/ 20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56" h="73">
                <a:moveTo>
                  <a:pt x="47" y="20"/>
                </a:moveTo>
                <a:lnTo>
                  <a:pt x="49" y="21"/>
                </a:lnTo>
                <a:lnTo>
                  <a:pt x="52" y="0"/>
                </a:lnTo>
                <a:lnTo>
                  <a:pt x="4" y="0"/>
                </a:lnTo>
                <a:lnTo>
                  <a:pt x="8" y="20"/>
                </a:lnTo>
                <a:lnTo>
                  <a:pt x="0" y="46"/>
                </a:lnTo>
                <a:lnTo>
                  <a:pt x="0" y="73"/>
                </a:lnTo>
                <a:lnTo>
                  <a:pt x="56" y="73"/>
                </a:lnTo>
                <a:lnTo>
                  <a:pt x="56" y="46"/>
                </a:lnTo>
                <a:lnTo>
                  <a:pt x="49" y="20"/>
                </a:lnTo>
                <a:lnTo>
                  <a:pt x="47" y="20"/>
                </a:lnTo>
                <a:lnTo>
                  <a:pt x="49" y="21"/>
                </a:lnTo>
                <a:lnTo>
                  <a:pt x="47" y="20"/>
                </a:lnTo>
                <a:lnTo>
                  <a:pt x="45" y="21"/>
                </a:lnTo>
                <a:lnTo>
                  <a:pt x="52" y="47"/>
                </a:lnTo>
                <a:lnTo>
                  <a:pt x="52" y="68"/>
                </a:lnTo>
                <a:lnTo>
                  <a:pt x="5" y="68"/>
                </a:lnTo>
                <a:lnTo>
                  <a:pt x="5" y="47"/>
                </a:lnTo>
                <a:lnTo>
                  <a:pt x="12" y="20"/>
                </a:lnTo>
                <a:lnTo>
                  <a:pt x="10" y="4"/>
                </a:lnTo>
                <a:lnTo>
                  <a:pt x="47" y="4"/>
                </a:lnTo>
                <a:lnTo>
                  <a:pt x="44" y="20"/>
                </a:lnTo>
                <a:lnTo>
                  <a:pt x="45" y="21"/>
                </a:lnTo>
                <a:lnTo>
                  <a:pt x="47" y="2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8651409" y="4509473"/>
            <a:ext cx="469614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5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8562568" y="4839469"/>
            <a:ext cx="647304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SpPr>
            <a:spLocks/>
          </xdr:cNvSpPr>
        </xdr:nvSpPr>
        <xdr:spPr bwMode="auto">
          <a:xfrm>
            <a:off x="7432963" y="4141396"/>
            <a:ext cx="342692" cy="215771"/>
          </a:xfrm>
          <a:custGeom>
            <a:avLst/>
            <a:gdLst>
              <a:gd name="T0" fmla="*/ 21 w 27"/>
              <a:gd name="T1" fmla="*/ 2 h 17"/>
              <a:gd name="T2" fmla="*/ 21 w 27"/>
              <a:gd name="T3" fmla="*/ 0 h 17"/>
              <a:gd name="T4" fmla="*/ 5 w 27"/>
              <a:gd name="T5" fmla="*/ 0 h 17"/>
              <a:gd name="T6" fmla="*/ 0 w 27"/>
              <a:gd name="T7" fmla="*/ 11 h 17"/>
              <a:gd name="T8" fmla="*/ 8 w 27"/>
              <a:gd name="T9" fmla="*/ 11 h 17"/>
              <a:gd name="T10" fmla="*/ 14 w 27"/>
              <a:gd name="T11" fmla="*/ 17 h 17"/>
              <a:gd name="T12" fmla="*/ 19 w 27"/>
              <a:gd name="T13" fmla="*/ 11 h 17"/>
              <a:gd name="T14" fmla="*/ 27 w 27"/>
              <a:gd name="T15" fmla="*/ 11 h 17"/>
              <a:gd name="T16" fmla="*/ 22 w 27"/>
              <a:gd name="T17" fmla="*/ 0 h 17"/>
              <a:gd name="T18" fmla="*/ 21 w 27"/>
              <a:gd name="T19" fmla="*/ 0 h 17"/>
              <a:gd name="T20" fmla="*/ 21 w 27"/>
              <a:gd name="T21" fmla="*/ 2 h 17"/>
              <a:gd name="T22" fmla="*/ 19 w 27"/>
              <a:gd name="T23" fmla="*/ 3 h 17"/>
              <a:gd name="T24" fmla="*/ 20 w 27"/>
              <a:gd name="T25" fmla="*/ 7 h 17"/>
              <a:gd name="T26" fmla="*/ 18 w 27"/>
              <a:gd name="T27" fmla="*/ 7 h 17"/>
              <a:gd name="T28" fmla="*/ 17 w 27"/>
              <a:gd name="T29" fmla="*/ 7 h 17"/>
              <a:gd name="T30" fmla="*/ 14 w 27"/>
              <a:gd name="T31" fmla="*/ 11 h 17"/>
              <a:gd name="T32" fmla="*/ 10 w 27"/>
              <a:gd name="T33" fmla="*/ 7 h 17"/>
              <a:gd name="T34" fmla="*/ 7 w 27"/>
              <a:gd name="T35" fmla="*/ 7 h 17"/>
              <a:gd name="T36" fmla="*/ 8 w 27"/>
              <a:gd name="T37" fmla="*/ 4 h 17"/>
              <a:gd name="T38" fmla="*/ 21 w 27"/>
              <a:gd name="T39" fmla="*/ 4 h 17"/>
              <a:gd name="T40" fmla="*/ 21 w 27"/>
              <a:gd name="T41" fmla="*/ 2 h 17"/>
              <a:gd name="T42" fmla="*/ 19 w 27"/>
              <a:gd name="T43" fmla="*/ 3 h 17"/>
              <a:gd name="T44" fmla="*/ 21 w 27"/>
              <a:gd name="T45" fmla="*/ 2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27" h="17">
                <a:moveTo>
                  <a:pt x="21" y="2"/>
                </a:moveTo>
                <a:lnTo>
                  <a:pt x="21" y="0"/>
                </a:lnTo>
                <a:lnTo>
                  <a:pt x="5" y="0"/>
                </a:lnTo>
                <a:lnTo>
                  <a:pt x="0" y="11"/>
                </a:lnTo>
                <a:lnTo>
                  <a:pt x="8" y="11"/>
                </a:lnTo>
                <a:lnTo>
                  <a:pt x="14" y="17"/>
                </a:lnTo>
                <a:lnTo>
                  <a:pt x="19" y="11"/>
                </a:lnTo>
                <a:lnTo>
                  <a:pt x="27" y="11"/>
                </a:lnTo>
                <a:lnTo>
                  <a:pt x="22" y="0"/>
                </a:lnTo>
                <a:lnTo>
                  <a:pt x="21" y="0"/>
                </a:lnTo>
                <a:lnTo>
                  <a:pt x="21" y="2"/>
                </a:lnTo>
                <a:lnTo>
                  <a:pt x="19" y="3"/>
                </a:lnTo>
                <a:lnTo>
                  <a:pt x="20" y="7"/>
                </a:lnTo>
                <a:lnTo>
                  <a:pt x="18" y="7"/>
                </a:lnTo>
                <a:lnTo>
                  <a:pt x="17" y="7"/>
                </a:lnTo>
                <a:lnTo>
                  <a:pt x="14" y="11"/>
                </a:lnTo>
                <a:lnTo>
                  <a:pt x="10" y="7"/>
                </a:lnTo>
                <a:lnTo>
                  <a:pt x="7" y="7"/>
                </a:lnTo>
                <a:lnTo>
                  <a:pt x="8" y="4"/>
                </a:lnTo>
                <a:lnTo>
                  <a:pt x="21" y="4"/>
                </a:lnTo>
                <a:lnTo>
                  <a:pt x="21" y="2"/>
                </a:lnTo>
                <a:lnTo>
                  <a:pt x="19" y="3"/>
                </a:lnTo>
                <a:lnTo>
                  <a:pt x="21" y="2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763316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877541"/>
            <a:ext cx="368076" cy="50769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7420274" y="4991774"/>
            <a:ext cx="368076" cy="63465"/>
          </a:xfrm>
          <a:prstGeom prst="rect">
            <a:avLst/>
          </a:pr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>
            <a:spLocks/>
          </xdr:cNvSpPr>
        </xdr:nvSpPr>
        <xdr:spPr bwMode="auto">
          <a:xfrm>
            <a:off x="8308725" y="3113336"/>
            <a:ext cx="203074" cy="203074"/>
          </a:xfrm>
          <a:custGeom>
            <a:avLst/>
            <a:gdLst>
              <a:gd name="T0" fmla="*/ 104 w 121"/>
              <a:gd name="T1" fmla="*/ 61 h 122"/>
              <a:gd name="T2" fmla="*/ 88 w 121"/>
              <a:gd name="T3" fmla="*/ 61 h 122"/>
              <a:gd name="T4" fmla="*/ 60 w 121"/>
              <a:gd name="T5" fmla="*/ 88 h 122"/>
              <a:gd name="T6" fmla="*/ 33 w 121"/>
              <a:gd name="T7" fmla="*/ 61 h 122"/>
              <a:gd name="T8" fmla="*/ 60 w 121"/>
              <a:gd name="T9" fmla="*/ 33 h 122"/>
              <a:gd name="T10" fmla="*/ 88 w 121"/>
              <a:gd name="T11" fmla="*/ 61 h 122"/>
              <a:gd name="T12" fmla="*/ 104 w 121"/>
              <a:gd name="T13" fmla="*/ 61 h 122"/>
              <a:gd name="T14" fmla="*/ 121 w 121"/>
              <a:gd name="T15" fmla="*/ 61 h 122"/>
              <a:gd name="T16" fmla="*/ 60 w 121"/>
              <a:gd name="T17" fmla="*/ 0 h 122"/>
              <a:gd name="T18" fmla="*/ 0 w 121"/>
              <a:gd name="T19" fmla="*/ 61 h 122"/>
              <a:gd name="T20" fmla="*/ 60 w 121"/>
              <a:gd name="T21" fmla="*/ 122 h 122"/>
              <a:gd name="T22" fmla="*/ 121 w 121"/>
              <a:gd name="T23" fmla="*/ 61 h 122"/>
              <a:gd name="T24" fmla="*/ 104 w 121"/>
              <a:gd name="T25" fmla="*/ 61 h 1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1" h="122">
                <a:moveTo>
                  <a:pt x="104" y="61"/>
                </a:moveTo>
                <a:lnTo>
                  <a:pt x="88" y="61"/>
                </a:lnTo>
                <a:cubicBezTo>
                  <a:pt x="88" y="76"/>
                  <a:pt x="76" y="88"/>
                  <a:pt x="60" y="88"/>
                </a:cubicBezTo>
                <a:cubicBezTo>
                  <a:pt x="45" y="88"/>
                  <a:pt x="33" y="76"/>
                  <a:pt x="33" y="61"/>
                </a:cubicBezTo>
                <a:cubicBezTo>
                  <a:pt x="33" y="46"/>
                  <a:pt x="45" y="33"/>
                  <a:pt x="60" y="33"/>
                </a:cubicBezTo>
                <a:cubicBezTo>
                  <a:pt x="76" y="33"/>
                  <a:pt x="88" y="46"/>
                  <a:pt x="88" y="61"/>
                </a:cubicBezTo>
                <a:lnTo>
                  <a:pt x="104" y="61"/>
                </a:lnTo>
                <a:lnTo>
                  <a:pt x="121" y="61"/>
                </a:lnTo>
                <a:cubicBezTo>
                  <a:pt x="121" y="27"/>
                  <a:pt x="94" y="0"/>
                  <a:pt x="60" y="0"/>
                </a:cubicBezTo>
                <a:cubicBezTo>
                  <a:pt x="27" y="0"/>
                  <a:pt x="0" y="27"/>
                  <a:pt x="0" y="61"/>
                </a:cubicBezTo>
                <a:cubicBezTo>
                  <a:pt x="0" y="94"/>
                  <a:pt x="27" y="122"/>
                  <a:pt x="60" y="122"/>
                </a:cubicBezTo>
                <a:cubicBezTo>
                  <a:pt x="94" y="122"/>
                  <a:pt x="121" y="94"/>
                  <a:pt x="121" y="61"/>
                </a:cubicBezTo>
                <a:lnTo>
                  <a:pt x="104" y="61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SpPr>
            <a:spLocks/>
          </xdr:cNvSpPr>
        </xdr:nvSpPr>
        <xdr:spPr bwMode="auto">
          <a:xfrm>
            <a:off x="8765643" y="3582941"/>
            <a:ext cx="203074" cy="190386"/>
          </a:xfrm>
          <a:custGeom>
            <a:avLst/>
            <a:gdLst>
              <a:gd name="T0" fmla="*/ 105 w 122"/>
              <a:gd name="T1" fmla="*/ 60 h 121"/>
              <a:gd name="T2" fmla="*/ 88 w 122"/>
              <a:gd name="T3" fmla="*/ 60 h 121"/>
              <a:gd name="T4" fmla="*/ 61 w 122"/>
              <a:gd name="T5" fmla="*/ 88 h 121"/>
              <a:gd name="T6" fmla="*/ 33 w 122"/>
              <a:gd name="T7" fmla="*/ 60 h 121"/>
              <a:gd name="T8" fmla="*/ 61 w 122"/>
              <a:gd name="T9" fmla="*/ 33 h 121"/>
              <a:gd name="T10" fmla="*/ 88 w 122"/>
              <a:gd name="T11" fmla="*/ 60 h 121"/>
              <a:gd name="T12" fmla="*/ 105 w 122"/>
              <a:gd name="T13" fmla="*/ 60 h 121"/>
              <a:gd name="T14" fmla="*/ 122 w 122"/>
              <a:gd name="T15" fmla="*/ 60 h 121"/>
              <a:gd name="T16" fmla="*/ 61 w 122"/>
              <a:gd name="T17" fmla="*/ 0 h 121"/>
              <a:gd name="T18" fmla="*/ 0 w 122"/>
              <a:gd name="T19" fmla="*/ 60 h 121"/>
              <a:gd name="T20" fmla="*/ 61 w 122"/>
              <a:gd name="T21" fmla="*/ 121 h 121"/>
              <a:gd name="T22" fmla="*/ 122 w 122"/>
              <a:gd name="T23" fmla="*/ 60 h 121"/>
              <a:gd name="T24" fmla="*/ 105 w 122"/>
              <a:gd name="T25" fmla="*/ 60 h 1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22" h="121">
                <a:moveTo>
                  <a:pt x="105" y="60"/>
                </a:moveTo>
                <a:lnTo>
                  <a:pt x="88" y="60"/>
                </a:lnTo>
                <a:cubicBezTo>
                  <a:pt x="88" y="75"/>
                  <a:pt x="76" y="88"/>
                  <a:pt x="61" y="88"/>
                </a:cubicBezTo>
                <a:cubicBezTo>
                  <a:pt x="46" y="88"/>
                  <a:pt x="33" y="75"/>
                  <a:pt x="33" y="60"/>
                </a:cubicBezTo>
                <a:cubicBezTo>
                  <a:pt x="33" y="45"/>
                  <a:pt x="46" y="33"/>
                  <a:pt x="61" y="33"/>
                </a:cubicBezTo>
                <a:cubicBezTo>
                  <a:pt x="76" y="33"/>
                  <a:pt x="88" y="45"/>
                  <a:pt x="88" y="60"/>
                </a:cubicBezTo>
                <a:lnTo>
                  <a:pt x="105" y="60"/>
                </a:lnTo>
                <a:lnTo>
                  <a:pt x="122" y="60"/>
                </a:lnTo>
                <a:cubicBezTo>
                  <a:pt x="122" y="27"/>
                  <a:pt x="94" y="0"/>
                  <a:pt x="61" y="0"/>
                </a:cubicBezTo>
                <a:cubicBezTo>
                  <a:pt x="27" y="0"/>
                  <a:pt x="0" y="27"/>
                  <a:pt x="0" y="60"/>
                </a:cubicBezTo>
                <a:cubicBezTo>
                  <a:pt x="0" y="94"/>
                  <a:pt x="27" y="121"/>
                  <a:pt x="61" y="121"/>
                </a:cubicBezTo>
                <a:cubicBezTo>
                  <a:pt x="94" y="121"/>
                  <a:pt x="122" y="94"/>
                  <a:pt x="122" y="60"/>
                </a:cubicBezTo>
                <a:lnTo>
                  <a:pt x="105" y="60"/>
                </a:lnTo>
                <a:close/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>
            <a:spLocks/>
          </xdr:cNvSpPr>
        </xdr:nvSpPr>
        <xdr:spPr bwMode="auto">
          <a:xfrm>
            <a:off x="8587953" y="3087951"/>
            <a:ext cx="177690" cy="291924"/>
          </a:xfrm>
          <a:custGeom>
            <a:avLst/>
            <a:gdLst>
              <a:gd name="T0" fmla="*/ 0 w 113"/>
              <a:gd name="T1" fmla="*/ 32 h 173"/>
              <a:gd name="T2" fmla="*/ 0 w 113"/>
              <a:gd name="T3" fmla="*/ 32 h 173"/>
              <a:gd name="T4" fmla="*/ 44 w 113"/>
              <a:gd name="T5" fmla="*/ 50 h 173"/>
              <a:gd name="T6" fmla="*/ 69 w 113"/>
              <a:gd name="T7" fmla="*/ 72 h 173"/>
              <a:gd name="T8" fmla="*/ 80 w 113"/>
              <a:gd name="T9" fmla="*/ 102 h 173"/>
              <a:gd name="T10" fmla="*/ 60 w 113"/>
              <a:gd name="T11" fmla="*/ 154 h 173"/>
              <a:gd name="T12" fmla="*/ 87 w 113"/>
              <a:gd name="T13" fmla="*/ 173 h 173"/>
              <a:gd name="T14" fmla="*/ 113 w 113"/>
              <a:gd name="T15" fmla="*/ 102 h 173"/>
              <a:gd name="T16" fmla="*/ 95 w 113"/>
              <a:gd name="T17" fmla="*/ 51 h 173"/>
              <a:gd name="T18" fmla="*/ 40 w 113"/>
              <a:gd name="T19" fmla="*/ 11 h 173"/>
              <a:gd name="T20" fmla="*/ 7 w 113"/>
              <a:gd name="T21" fmla="*/ 0 h 173"/>
              <a:gd name="T22" fmla="*/ 0 w 113"/>
              <a:gd name="T23" fmla="*/ 32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13" h="173">
                <a:moveTo>
                  <a:pt x="0" y="32"/>
                </a:moveTo>
                <a:lnTo>
                  <a:pt x="0" y="32"/>
                </a:lnTo>
                <a:cubicBezTo>
                  <a:pt x="2" y="33"/>
                  <a:pt x="24" y="38"/>
                  <a:pt x="44" y="50"/>
                </a:cubicBezTo>
                <a:cubicBezTo>
                  <a:pt x="54" y="56"/>
                  <a:pt x="63" y="64"/>
                  <a:pt x="69" y="72"/>
                </a:cubicBezTo>
                <a:cubicBezTo>
                  <a:pt x="76" y="81"/>
                  <a:pt x="80" y="90"/>
                  <a:pt x="80" y="102"/>
                </a:cubicBezTo>
                <a:cubicBezTo>
                  <a:pt x="80" y="115"/>
                  <a:pt x="75" y="132"/>
                  <a:pt x="60" y="154"/>
                </a:cubicBezTo>
                <a:lnTo>
                  <a:pt x="87" y="173"/>
                </a:lnTo>
                <a:cubicBezTo>
                  <a:pt x="105" y="147"/>
                  <a:pt x="113" y="124"/>
                  <a:pt x="113" y="102"/>
                </a:cubicBezTo>
                <a:cubicBezTo>
                  <a:pt x="113" y="82"/>
                  <a:pt x="106" y="64"/>
                  <a:pt x="95" y="51"/>
                </a:cubicBezTo>
                <a:cubicBezTo>
                  <a:pt x="79" y="31"/>
                  <a:pt x="57" y="19"/>
                  <a:pt x="40" y="11"/>
                </a:cubicBezTo>
                <a:cubicBezTo>
                  <a:pt x="22" y="3"/>
                  <a:pt x="8" y="0"/>
                  <a:pt x="7" y="0"/>
                </a:cubicBezTo>
                <a:lnTo>
                  <a:pt x="0" y="32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SpPr>
            <a:spLocks/>
          </xdr:cNvSpPr>
        </xdr:nvSpPr>
        <xdr:spPr bwMode="auto">
          <a:xfrm>
            <a:off x="8994102" y="3709863"/>
            <a:ext cx="152306" cy="279227"/>
          </a:xfrm>
          <a:custGeom>
            <a:avLst/>
            <a:gdLst>
              <a:gd name="T0" fmla="*/ 34 w 91"/>
              <a:gd name="T1" fmla="*/ 21 h 170"/>
              <a:gd name="T2" fmla="*/ 36 w 91"/>
              <a:gd name="T3" fmla="*/ 20 h 170"/>
              <a:gd name="T4" fmla="*/ 34 w 91"/>
              <a:gd name="T5" fmla="*/ 21 h 170"/>
              <a:gd name="T6" fmla="*/ 34 w 91"/>
              <a:gd name="T7" fmla="*/ 21 h 170"/>
              <a:gd name="T8" fmla="*/ 36 w 91"/>
              <a:gd name="T9" fmla="*/ 20 h 170"/>
              <a:gd name="T10" fmla="*/ 34 w 91"/>
              <a:gd name="T11" fmla="*/ 21 h 170"/>
              <a:gd name="T12" fmla="*/ 47 w 91"/>
              <a:gd name="T13" fmla="*/ 41 h 170"/>
              <a:gd name="T14" fmla="*/ 58 w 91"/>
              <a:gd name="T15" fmla="*/ 81 h 170"/>
              <a:gd name="T16" fmla="*/ 47 w 91"/>
              <a:gd name="T17" fmla="*/ 111 h 170"/>
              <a:gd name="T18" fmla="*/ 0 w 91"/>
              <a:gd name="T19" fmla="*/ 138 h 170"/>
              <a:gd name="T20" fmla="*/ 10 w 91"/>
              <a:gd name="T21" fmla="*/ 170 h 170"/>
              <a:gd name="T22" fmla="*/ 73 w 91"/>
              <a:gd name="T23" fmla="*/ 132 h 170"/>
              <a:gd name="T24" fmla="*/ 91 w 91"/>
              <a:gd name="T25" fmla="*/ 81 h 170"/>
              <a:gd name="T26" fmla="*/ 76 w 91"/>
              <a:gd name="T27" fmla="*/ 24 h 170"/>
              <a:gd name="T28" fmla="*/ 60 w 91"/>
              <a:gd name="T29" fmla="*/ 0 h 170"/>
              <a:gd name="T30" fmla="*/ 34 w 91"/>
              <a:gd name="T31" fmla="*/ 21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91" h="170">
                <a:moveTo>
                  <a:pt x="34" y="21"/>
                </a:moveTo>
                <a:lnTo>
                  <a:pt x="36" y="20"/>
                </a:lnTo>
                <a:lnTo>
                  <a:pt x="34" y="21"/>
                </a:lnTo>
                <a:lnTo>
                  <a:pt x="34" y="21"/>
                </a:lnTo>
                <a:lnTo>
                  <a:pt x="36" y="20"/>
                </a:lnTo>
                <a:lnTo>
                  <a:pt x="34" y="21"/>
                </a:lnTo>
                <a:cubicBezTo>
                  <a:pt x="35" y="21"/>
                  <a:pt x="41" y="29"/>
                  <a:pt x="47" y="41"/>
                </a:cubicBezTo>
                <a:cubicBezTo>
                  <a:pt x="53" y="52"/>
                  <a:pt x="58" y="67"/>
                  <a:pt x="58" y="81"/>
                </a:cubicBezTo>
                <a:cubicBezTo>
                  <a:pt x="58" y="92"/>
                  <a:pt x="55" y="101"/>
                  <a:pt x="47" y="111"/>
                </a:cubicBezTo>
                <a:cubicBezTo>
                  <a:pt x="39" y="121"/>
                  <a:pt x="25" y="131"/>
                  <a:pt x="0" y="138"/>
                </a:cubicBezTo>
                <a:lnTo>
                  <a:pt x="10" y="170"/>
                </a:lnTo>
                <a:cubicBezTo>
                  <a:pt x="39" y="161"/>
                  <a:pt x="59" y="148"/>
                  <a:pt x="73" y="132"/>
                </a:cubicBezTo>
                <a:cubicBezTo>
                  <a:pt x="86" y="116"/>
                  <a:pt x="91" y="98"/>
                  <a:pt x="91" y="81"/>
                </a:cubicBezTo>
                <a:cubicBezTo>
                  <a:pt x="91" y="59"/>
                  <a:pt x="83" y="39"/>
                  <a:pt x="76" y="24"/>
                </a:cubicBezTo>
                <a:cubicBezTo>
                  <a:pt x="68" y="10"/>
                  <a:pt x="61" y="1"/>
                  <a:pt x="60" y="0"/>
                </a:cubicBezTo>
                <a:lnTo>
                  <a:pt x="34" y="21"/>
                </a:lnTo>
              </a:path>
            </a:pathLst>
          </a:custGeom>
          <a:solidFill>
            <a:schemeClr val="dk1"/>
          </a:solidFill>
          <a:ln w="3175">
            <a:solidFill>
              <a:schemeClr val="tx1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</xdr:col>
      <xdr:colOff>109481</xdr:colOff>
      <xdr:row>132</xdr:row>
      <xdr:rowOff>114447</xdr:rowOff>
    </xdr:from>
    <xdr:to>
      <xdr:col>1</xdr:col>
      <xdr:colOff>465738</xdr:colOff>
      <xdr:row>134</xdr:row>
      <xdr:rowOff>46634</xdr:rowOff>
    </xdr:to>
    <xdr:pic>
      <xdr:nvPicPr>
        <xdr:cNvPr id="89" name="Picture 88" descr="Shopping Cart Icon Vector Art, Icons, and Graphics for Free Download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4" t="14023" r="8811" b="12568"/>
        <a:stretch/>
      </xdr:blipFill>
      <xdr:spPr bwMode="auto">
        <a:xfrm rot="10800000" flipV="1">
          <a:off x="522231" y="45643947"/>
          <a:ext cx="358162" cy="298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14</xdr:col>
      <xdr:colOff>125276</xdr:colOff>
      <xdr:row>26</xdr:row>
      <xdr:rowOff>122554</xdr:rowOff>
    </xdr:to>
    <xdr:sp macro="" textlink="">
      <xdr:nvSpPr>
        <xdr:cNvPr id="100" name="AutoShape 2" descr="Rail sleeper know-how - Thosti-International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0236200" y="499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148481</xdr:colOff>
      <xdr:row>51</xdr:row>
      <xdr:rowOff>32040</xdr:rowOff>
    </xdr:from>
    <xdr:ext cx="283308" cy="303734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019"/>
        <a:stretch/>
      </xdr:blipFill>
      <xdr:spPr>
        <a:xfrm rot="10800000">
          <a:off x="561231" y="9817390"/>
          <a:ext cx="283308" cy="303734"/>
        </a:xfrm>
        <a:prstGeom prst="rect">
          <a:avLst/>
        </a:prstGeom>
      </xdr:spPr>
    </xdr:pic>
    <xdr:clientData/>
  </xdr:oneCellAnchor>
  <xdr:twoCellAnchor>
    <xdr:from>
      <xdr:col>1</xdr:col>
      <xdr:colOff>33215</xdr:colOff>
      <xdr:row>55</xdr:row>
      <xdr:rowOff>80108</xdr:rowOff>
    </xdr:from>
    <xdr:to>
      <xdr:col>1</xdr:col>
      <xdr:colOff>385996</xdr:colOff>
      <xdr:row>57</xdr:row>
      <xdr:rowOff>58614</xdr:rowOff>
    </xdr:to>
    <xdr:sp macro="" textlink="">
      <xdr:nvSpPr>
        <xdr:cNvPr id="113" name="Freeform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/>
        </xdr:cNvSpPr>
      </xdr:nvSpPr>
      <xdr:spPr bwMode="auto">
        <a:xfrm>
          <a:off x="445965" y="10602058"/>
          <a:ext cx="352781" cy="346806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75932</xdr:colOff>
      <xdr:row>55</xdr:row>
      <xdr:rowOff>123093</xdr:rowOff>
    </xdr:from>
    <xdr:to>
      <xdr:col>1</xdr:col>
      <xdr:colOff>351691</xdr:colOff>
      <xdr:row>56</xdr:row>
      <xdr:rowOff>84015</xdr:rowOff>
    </xdr:to>
    <xdr:sp macro="" textlink="">
      <xdr:nvSpPr>
        <xdr:cNvPr id="114" name="Freeform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/>
        </xdr:cNvSpPr>
      </xdr:nvSpPr>
      <xdr:spPr bwMode="auto">
        <a:xfrm>
          <a:off x="488682" y="10645043"/>
          <a:ext cx="275759" cy="145072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404291</xdr:colOff>
      <xdr:row>56</xdr:row>
      <xdr:rowOff>119185</xdr:rowOff>
    </xdr:from>
    <xdr:to>
      <xdr:col>1</xdr:col>
      <xdr:colOff>513862</xdr:colOff>
      <xdr:row>57</xdr:row>
      <xdr:rowOff>56752</xdr:rowOff>
    </xdr:to>
    <xdr:sp macro="" textlink="">
      <xdr:nvSpPr>
        <xdr:cNvPr id="115" name="Freeform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>
          <a:spLocks/>
        </xdr:cNvSpPr>
      </xdr:nvSpPr>
      <xdr:spPr bwMode="auto">
        <a:xfrm>
          <a:off x="817041" y="10825285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83038</xdr:colOff>
      <xdr:row>65</xdr:row>
      <xdr:rowOff>24422</xdr:rowOff>
    </xdr:from>
    <xdr:to>
      <xdr:col>1</xdr:col>
      <xdr:colOff>435819</xdr:colOff>
      <xdr:row>67</xdr:row>
      <xdr:rowOff>2927</xdr:rowOff>
    </xdr:to>
    <xdr:sp macro="" textlink="">
      <xdr:nvSpPr>
        <xdr:cNvPr id="116" name="Freeform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>
          <a:spLocks/>
        </xdr:cNvSpPr>
      </xdr:nvSpPr>
      <xdr:spPr bwMode="auto">
        <a:xfrm>
          <a:off x="495788" y="12387872"/>
          <a:ext cx="352781" cy="346805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125755</xdr:colOff>
      <xdr:row>65</xdr:row>
      <xdr:rowOff>67407</xdr:rowOff>
    </xdr:from>
    <xdr:to>
      <xdr:col>1</xdr:col>
      <xdr:colOff>401514</xdr:colOff>
      <xdr:row>66</xdr:row>
      <xdr:rowOff>28328</xdr:rowOff>
    </xdr:to>
    <xdr:sp macro="" textlink="">
      <xdr:nvSpPr>
        <xdr:cNvPr id="117" name="Freeform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>
          <a:spLocks/>
        </xdr:cNvSpPr>
      </xdr:nvSpPr>
      <xdr:spPr bwMode="auto">
        <a:xfrm>
          <a:off x="538505" y="12430857"/>
          <a:ext cx="275759" cy="145071"/>
        </a:xfrm>
        <a:custGeom>
          <a:avLst/>
          <a:gdLst>
            <a:gd name="T0" fmla="*/ 21 w 27"/>
            <a:gd name="T1" fmla="*/ 2 h 17"/>
            <a:gd name="T2" fmla="*/ 21 w 27"/>
            <a:gd name="T3" fmla="*/ 0 h 17"/>
            <a:gd name="T4" fmla="*/ 5 w 27"/>
            <a:gd name="T5" fmla="*/ 0 h 17"/>
            <a:gd name="T6" fmla="*/ 0 w 27"/>
            <a:gd name="T7" fmla="*/ 11 h 17"/>
            <a:gd name="T8" fmla="*/ 8 w 27"/>
            <a:gd name="T9" fmla="*/ 11 h 17"/>
            <a:gd name="T10" fmla="*/ 14 w 27"/>
            <a:gd name="T11" fmla="*/ 17 h 17"/>
            <a:gd name="T12" fmla="*/ 19 w 27"/>
            <a:gd name="T13" fmla="*/ 11 h 17"/>
            <a:gd name="T14" fmla="*/ 27 w 27"/>
            <a:gd name="T15" fmla="*/ 11 h 17"/>
            <a:gd name="T16" fmla="*/ 22 w 27"/>
            <a:gd name="T17" fmla="*/ 0 h 17"/>
            <a:gd name="T18" fmla="*/ 21 w 27"/>
            <a:gd name="T19" fmla="*/ 0 h 17"/>
            <a:gd name="T20" fmla="*/ 21 w 27"/>
            <a:gd name="T21" fmla="*/ 2 h 17"/>
            <a:gd name="T22" fmla="*/ 19 w 27"/>
            <a:gd name="T23" fmla="*/ 3 h 17"/>
            <a:gd name="T24" fmla="*/ 20 w 27"/>
            <a:gd name="T25" fmla="*/ 7 h 17"/>
            <a:gd name="T26" fmla="*/ 18 w 27"/>
            <a:gd name="T27" fmla="*/ 7 h 17"/>
            <a:gd name="T28" fmla="*/ 17 w 27"/>
            <a:gd name="T29" fmla="*/ 7 h 17"/>
            <a:gd name="T30" fmla="*/ 14 w 27"/>
            <a:gd name="T31" fmla="*/ 11 h 17"/>
            <a:gd name="T32" fmla="*/ 10 w 27"/>
            <a:gd name="T33" fmla="*/ 7 h 17"/>
            <a:gd name="T34" fmla="*/ 7 w 27"/>
            <a:gd name="T35" fmla="*/ 7 h 17"/>
            <a:gd name="T36" fmla="*/ 8 w 27"/>
            <a:gd name="T37" fmla="*/ 4 h 17"/>
            <a:gd name="T38" fmla="*/ 21 w 27"/>
            <a:gd name="T39" fmla="*/ 4 h 17"/>
            <a:gd name="T40" fmla="*/ 21 w 27"/>
            <a:gd name="T41" fmla="*/ 2 h 17"/>
            <a:gd name="T42" fmla="*/ 19 w 27"/>
            <a:gd name="T43" fmla="*/ 3 h 17"/>
            <a:gd name="T44" fmla="*/ 21 w 27"/>
            <a:gd name="T45" fmla="*/ 2 h 1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</a:cxnLst>
          <a:rect l="0" t="0" r="r" b="b"/>
          <a:pathLst>
            <a:path w="27" h="17">
              <a:moveTo>
                <a:pt x="21" y="2"/>
              </a:moveTo>
              <a:lnTo>
                <a:pt x="21" y="0"/>
              </a:lnTo>
              <a:lnTo>
                <a:pt x="5" y="0"/>
              </a:lnTo>
              <a:lnTo>
                <a:pt x="0" y="11"/>
              </a:lnTo>
              <a:lnTo>
                <a:pt x="8" y="11"/>
              </a:lnTo>
              <a:lnTo>
                <a:pt x="14" y="17"/>
              </a:lnTo>
              <a:lnTo>
                <a:pt x="19" y="11"/>
              </a:lnTo>
              <a:lnTo>
                <a:pt x="27" y="11"/>
              </a:lnTo>
              <a:lnTo>
                <a:pt x="22" y="0"/>
              </a:lnTo>
              <a:lnTo>
                <a:pt x="21" y="0"/>
              </a:lnTo>
              <a:lnTo>
                <a:pt x="21" y="2"/>
              </a:lnTo>
              <a:lnTo>
                <a:pt x="19" y="3"/>
              </a:lnTo>
              <a:lnTo>
                <a:pt x="20" y="7"/>
              </a:lnTo>
              <a:lnTo>
                <a:pt x="18" y="7"/>
              </a:lnTo>
              <a:lnTo>
                <a:pt x="17" y="7"/>
              </a:lnTo>
              <a:lnTo>
                <a:pt x="14" y="11"/>
              </a:lnTo>
              <a:lnTo>
                <a:pt x="10" y="7"/>
              </a:lnTo>
              <a:lnTo>
                <a:pt x="7" y="7"/>
              </a:lnTo>
              <a:lnTo>
                <a:pt x="8" y="4"/>
              </a:lnTo>
              <a:lnTo>
                <a:pt x="21" y="4"/>
              </a:lnTo>
              <a:lnTo>
                <a:pt x="21" y="2"/>
              </a:lnTo>
              <a:lnTo>
                <a:pt x="19" y="3"/>
              </a:lnTo>
              <a:lnTo>
                <a:pt x="21" y="2"/>
              </a:lnTo>
              <a:close/>
            </a:path>
          </a:pathLst>
        </a:custGeom>
        <a:solidFill>
          <a:schemeClr val="dk1"/>
        </a:solidFill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272586</xdr:colOff>
      <xdr:row>66</xdr:row>
      <xdr:rowOff>21683</xdr:rowOff>
    </xdr:from>
    <xdr:to>
      <xdr:col>1</xdr:col>
      <xdr:colOff>537785</xdr:colOff>
      <xdr:row>67</xdr:row>
      <xdr:rowOff>89528</xdr:rowOff>
    </xdr:to>
    <xdr:sp macro="" textlink="">
      <xdr:nvSpPr>
        <xdr:cNvPr id="118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>
          <a:spLocks noChangeAspect="1" noEditPoints="1"/>
        </xdr:cNvSpPr>
      </xdr:nvSpPr>
      <xdr:spPr bwMode="auto">
        <a:xfrm>
          <a:off x="685336" y="1256928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161193</xdr:colOff>
      <xdr:row>60</xdr:row>
      <xdr:rowOff>97693</xdr:rowOff>
    </xdr:from>
    <xdr:to>
      <xdr:col>1</xdr:col>
      <xdr:colOff>270764</xdr:colOff>
      <xdr:row>61</xdr:row>
      <xdr:rowOff>35260</xdr:rowOff>
    </xdr:to>
    <xdr:sp macro="" textlink="">
      <xdr:nvSpPr>
        <xdr:cNvPr id="119" name="Freeform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>
          <a:spLocks/>
        </xdr:cNvSpPr>
      </xdr:nvSpPr>
      <xdr:spPr bwMode="auto">
        <a:xfrm>
          <a:off x="573943" y="11540393"/>
          <a:ext cx="109571" cy="121717"/>
        </a:xfrm>
        <a:custGeom>
          <a:avLst/>
          <a:gdLst>
            <a:gd name="T0" fmla="*/ 225 w 275"/>
            <a:gd name="T1" fmla="*/ 197 h 214"/>
            <a:gd name="T2" fmla="*/ 225 w 275"/>
            <a:gd name="T3" fmla="*/ 181 h 214"/>
            <a:gd name="T4" fmla="*/ 50 w 275"/>
            <a:gd name="T5" fmla="*/ 181 h 214"/>
            <a:gd name="T6" fmla="*/ 33 w 275"/>
            <a:gd name="T7" fmla="*/ 164 h 214"/>
            <a:gd name="T8" fmla="*/ 33 w 275"/>
            <a:gd name="T9" fmla="*/ 50 h 214"/>
            <a:gd name="T10" fmla="*/ 50 w 275"/>
            <a:gd name="T11" fmla="*/ 33 h 214"/>
            <a:gd name="T12" fmla="*/ 225 w 275"/>
            <a:gd name="T13" fmla="*/ 33 h 214"/>
            <a:gd name="T14" fmla="*/ 242 w 275"/>
            <a:gd name="T15" fmla="*/ 50 h 214"/>
            <a:gd name="T16" fmla="*/ 242 w 275"/>
            <a:gd name="T17" fmla="*/ 164 h 214"/>
            <a:gd name="T18" fmla="*/ 225 w 275"/>
            <a:gd name="T19" fmla="*/ 181 h 214"/>
            <a:gd name="T20" fmla="*/ 225 w 275"/>
            <a:gd name="T21" fmla="*/ 197 h 214"/>
            <a:gd name="T22" fmla="*/ 225 w 275"/>
            <a:gd name="T23" fmla="*/ 214 h 214"/>
            <a:gd name="T24" fmla="*/ 275 w 275"/>
            <a:gd name="T25" fmla="*/ 164 h 214"/>
            <a:gd name="T26" fmla="*/ 275 w 275"/>
            <a:gd name="T27" fmla="*/ 50 h 214"/>
            <a:gd name="T28" fmla="*/ 225 w 275"/>
            <a:gd name="T29" fmla="*/ 0 h 214"/>
            <a:gd name="T30" fmla="*/ 50 w 275"/>
            <a:gd name="T31" fmla="*/ 0 h 214"/>
            <a:gd name="T32" fmla="*/ 0 w 275"/>
            <a:gd name="T33" fmla="*/ 50 h 214"/>
            <a:gd name="T34" fmla="*/ 0 w 275"/>
            <a:gd name="T35" fmla="*/ 164 h 214"/>
            <a:gd name="T36" fmla="*/ 50 w 275"/>
            <a:gd name="T37" fmla="*/ 214 h 214"/>
            <a:gd name="T38" fmla="*/ 225 w 275"/>
            <a:gd name="T39" fmla="*/ 214 h 214"/>
            <a:gd name="T40" fmla="*/ 225 w 275"/>
            <a:gd name="T41" fmla="*/ 197 h 2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</a:cxnLst>
          <a:rect l="0" t="0" r="r" b="b"/>
          <a:pathLst>
            <a:path w="275" h="214">
              <a:moveTo>
                <a:pt x="225" y="197"/>
              </a:moveTo>
              <a:lnTo>
                <a:pt x="225" y="181"/>
              </a:lnTo>
              <a:lnTo>
                <a:pt x="50" y="181"/>
              </a:lnTo>
              <a:cubicBezTo>
                <a:pt x="40" y="181"/>
                <a:pt x="33" y="173"/>
                <a:pt x="33" y="164"/>
              </a:cubicBezTo>
              <a:lnTo>
                <a:pt x="33" y="50"/>
              </a:lnTo>
              <a:cubicBezTo>
                <a:pt x="33" y="41"/>
                <a:pt x="40" y="33"/>
                <a:pt x="50" y="33"/>
              </a:cubicBezTo>
              <a:lnTo>
                <a:pt x="225" y="33"/>
              </a:lnTo>
              <a:cubicBezTo>
                <a:pt x="234" y="33"/>
                <a:pt x="242" y="41"/>
                <a:pt x="242" y="50"/>
              </a:cubicBezTo>
              <a:lnTo>
                <a:pt x="242" y="164"/>
              </a:lnTo>
              <a:cubicBezTo>
                <a:pt x="242" y="173"/>
                <a:pt x="234" y="181"/>
                <a:pt x="225" y="181"/>
              </a:cubicBezTo>
              <a:lnTo>
                <a:pt x="225" y="197"/>
              </a:lnTo>
              <a:lnTo>
                <a:pt x="225" y="214"/>
              </a:lnTo>
              <a:cubicBezTo>
                <a:pt x="253" y="214"/>
                <a:pt x="275" y="192"/>
                <a:pt x="275" y="164"/>
              </a:cubicBezTo>
              <a:lnTo>
                <a:pt x="275" y="50"/>
              </a:lnTo>
              <a:cubicBezTo>
                <a:pt x="275" y="22"/>
                <a:pt x="253" y="0"/>
                <a:pt x="225" y="0"/>
              </a:cubicBezTo>
              <a:lnTo>
                <a:pt x="50" y="0"/>
              </a:lnTo>
              <a:cubicBezTo>
                <a:pt x="22" y="0"/>
                <a:pt x="0" y="22"/>
                <a:pt x="0" y="50"/>
              </a:cubicBezTo>
              <a:lnTo>
                <a:pt x="0" y="164"/>
              </a:lnTo>
              <a:cubicBezTo>
                <a:pt x="0" y="192"/>
                <a:pt x="22" y="214"/>
                <a:pt x="50" y="214"/>
              </a:cubicBezTo>
              <a:lnTo>
                <a:pt x="225" y="214"/>
              </a:lnTo>
              <a:lnTo>
                <a:pt x="225" y="197"/>
              </a:lnTo>
              <a:close/>
            </a:path>
          </a:pathLst>
        </a:custGeom>
        <a:solidFill>
          <a:schemeClr val="dk1"/>
        </a:solidFill>
        <a:ln w="9525">
          <a:solidFill>
            <a:schemeClr val="tx1"/>
          </a:solidFill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234461</xdr:colOff>
      <xdr:row>60</xdr:row>
      <xdr:rowOff>87923</xdr:rowOff>
    </xdr:from>
    <xdr:to>
      <xdr:col>1</xdr:col>
      <xdr:colOff>499660</xdr:colOff>
      <xdr:row>61</xdr:row>
      <xdr:rowOff>155768</xdr:rowOff>
    </xdr:to>
    <xdr:sp macro="" textlink="">
      <xdr:nvSpPr>
        <xdr:cNvPr id="120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>
          <a:spLocks noChangeAspect="1" noEditPoints="1"/>
        </xdr:cNvSpPr>
      </xdr:nvSpPr>
      <xdr:spPr bwMode="auto">
        <a:xfrm>
          <a:off x="647211" y="11530623"/>
          <a:ext cx="265199" cy="251995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146538</xdr:colOff>
      <xdr:row>69</xdr:row>
      <xdr:rowOff>151423</xdr:rowOff>
    </xdr:from>
    <xdr:to>
      <xdr:col>1</xdr:col>
      <xdr:colOff>411737</xdr:colOff>
      <xdr:row>71</xdr:row>
      <xdr:rowOff>33652</xdr:rowOff>
    </xdr:to>
    <xdr:sp macro="" textlink="">
      <xdr:nvSpPr>
        <xdr:cNvPr id="121" name="Recycle3" descr="{&quot;Key&quot;:&quot;POWER_USER_SHAPE_ICON&quot;,&quot;Value&quot;:&quot;POWER_USER_SHAPE_ICON_STYLE_1&quot;}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>
          <a:spLocks noChangeAspect="1" noEditPoints="1"/>
        </xdr:cNvSpPr>
      </xdr:nvSpPr>
      <xdr:spPr bwMode="auto">
        <a:xfrm>
          <a:off x="559288" y="13251473"/>
          <a:ext cx="265199" cy="250529"/>
        </a:xfrm>
        <a:custGeom>
          <a:avLst/>
          <a:gdLst>
            <a:gd name="T0" fmla="*/ 19 w 168"/>
            <a:gd name="T1" fmla="*/ 99 h 160"/>
            <a:gd name="T2" fmla="*/ 20 w 168"/>
            <a:gd name="T3" fmla="*/ 129 h 160"/>
            <a:gd name="T4" fmla="*/ 35 w 168"/>
            <a:gd name="T5" fmla="*/ 135 h 160"/>
            <a:gd name="T6" fmla="*/ 34 w 168"/>
            <a:gd name="T7" fmla="*/ 141 h 160"/>
            <a:gd name="T8" fmla="*/ 2 w 168"/>
            <a:gd name="T9" fmla="*/ 121 h 160"/>
            <a:gd name="T10" fmla="*/ 8 w 168"/>
            <a:gd name="T11" fmla="*/ 92 h 160"/>
            <a:gd name="T12" fmla="*/ 17 w 168"/>
            <a:gd name="T13" fmla="*/ 76 h 160"/>
            <a:gd name="T14" fmla="*/ 1 w 168"/>
            <a:gd name="T15" fmla="*/ 67 h 160"/>
            <a:gd name="T16" fmla="*/ 44 w 168"/>
            <a:gd name="T17" fmla="*/ 41 h 160"/>
            <a:gd name="T18" fmla="*/ 44 w 168"/>
            <a:gd name="T19" fmla="*/ 91 h 160"/>
            <a:gd name="T20" fmla="*/ 28 w 168"/>
            <a:gd name="T21" fmla="*/ 82 h 160"/>
            <a:gd name="T22" fmla="*/ 19 w 168"/>
            <a:gd name="T23" fmla="*/ 99 h 160"/>
            <a:gd name="T24" fmla="*/ 72 w 168"/>
            <a:gd name="T25" fmla="*/ 16 h 160"/>
            <a:gd name="T26" fmla="*/ 99 w 168"/>
            <a:gd name="T27" fmla="*/ 29 h 160"/>
            <a:gd name="T28" fmla="*/ 109 w 168"/>
            <a:gd name="T29" fmla="*/ 45 h 160"/>
            <a:gd name="T30" fmla="*/ 93 w 168"/>
            <a:gd name="T31" fmla="*/ 55 h 160"/>
            <a:gd name="T32" fmla="*/ 138 w 168"/>
            <a:gd name="T33" fmla="*/ 78 h 160"/>
            <a:gd name="T34" fmla="*/ 136 w 168"/>
            <a:gd name="T35" fmla="*/ 28 h 160"/>
            <a:gd name="T36" fmla="*/ 120 w 168"/>
            <a:gd name="T37" fmla="*/ 38 h 160"/>
            <a:gd name="T38" fmla="*/ 110 w 168"/>
            <a:gd name="T39" fmla="*/ 23 h 160"/>
            <a:gd name="T40" fmla="*/ 87 w 168"/>
            <a:gd name="T41" fmla="*/ 4 h 160"/>
            <a:gd name="T42" fmla="*/ 54 w 168"/>
            <a:gd name="T43" fmla="*/ 24 h 160"/>
            <a:gd name="T44" fmla="*/ 60 w 168"/>
            <a:gd name="T45" fmla="*/ 26 h 160"/>
            <a:gd name="T46" fmla="*/ 72 w 168"/>
            <a:gd name="T47" fmla="*/ 16 h 160"/>
            <a:gd name="T48" fmla="*/ 154 w 168"/>
            <a:gd name="T49" fmla="*/ 94 h 160"/>
            <a:gd name="T50" fmla="*/ 149 w 168"/>
            <a:gd name="T51" fmla="*/ 97 h 160"/>
            <a:gd name="T52" fmla="*/ 151 w 168"/>
            <a:gd name="T53" fmla="*/ 112 h 160"/>
            <a:gd name="T54" fmla="*/ 126 w 168"/>
            <a:gd name="T55" fmla="*/ 129 h 160"/>
            <a:gd name="T56" fmla="*/ 107 w 168"/>
            <a:gd name="T57" fmla="*/ 129 h 160"/>
            <a:gd name="T58" fmla="*/ 107 w 168"/>
            <a:gd name="T59" fmla="*/ 110 h 160"/>
            <a:gd name="T60" fmla="*/ 63 w 168"/>
            <a:gd name="T61" fmla="*/ 135 h 160"/>
            <a:gd name="T62" fmla="*/ 107 w 168"/>
            <a:gd name="T63" fmla="*/ 160 h 160"/>
            <a:gd name="T64" fmla="*/ 107 w 168"/>
            <a:gd name="T65" fmla="*/ 141 h 160"/>
            <a:gd name="T66" fmla="*/ 126 w 168"/>
            <a:gd name="T67" fmla="*/ 141 h 160"/>
            <a:gd name="T68" fmla="*/ 153 w 168"/>
            <a:gd name="T69" fmla="*/ 132 h 160"/>
            <a:gd name="T70" fmla="*/ 154 w 168"/>
            <a:gd name="T71" fmla="*/ 94 h 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168" h="160">
              <a:moveTo>
                <a:pt x="19" y="99"/>
              </a:moveTo>
              <a:cubicBezTo>
                <a:pt x="14" y="106"/>
                <a:pt x="7" y="120"/>
                <a:pt x="20" y="129"/>
              </a:cubicBezTo>
              <a:cubicBezTo>
                <a:pt x="25" y="132"/>
                <a:pt x="30" y="134"/>
                <a:pt x="35" y="135"/>
              </a:cubicBezTo>
              <a:cubicBezTo>
                <a:pt x="38" y="135"/>
                <a:pt x="39" y="141"/>
                <a:pt x="34" y="141"/>
              </a:cubicBezTo>
              <a:cubicBezTo>
                <a:pt x="29" y="141"/>
                <a:pt x="6" y="139"/>
                <a:pt x="2" y="121"/>
              </a:cubicBezTo>
              <a:cubicBezTo>
                <a:pt x="0" y="111"/>
                <a:pt x="2" y="102"/>
                <a:pt x="8" y="92"/>
              </a:cubicBezTo>
              <a:lnTo>
                <a:pt x="17" y="76"/>
              </a:lnTo>
              <a:lnTo>
                <a:pt x="1" y="67"/>
              </a:lnTo>
              <a:lnTo>
                <a:pt x="44" y="41"/>
              </a:lnTo>
              <a:lnTo>
                <a:pt x="44" y="91"/>
              </a:lnTo>
              <a:lnTo>
                <a:pt x="28" y="82"/>
              </a:lnTo>
              <a:lnTo>
                <a:pt x="19" y="99"/>
              </a:lnTo>
              <a:close/>
              <a:moveTo>
                <a:pt x="72" y="16"/>
              </a:moveTo>
              <a:cubicBezTo>
                <a:pt x="86" y="9"/>
                <a:pt x="95" y="22"/>
                <a:pt x="99" y="29"/>
              </a:cubicBezTo>
              <a:lnTo>
                <a:pt x="109" y="45"/>
              </a:lnTo>
              <a:lnTo>
                <a:pt x="93" y="55"/>
              </a:lnTo>
              <a:lnTo>
                <a:pt x="138" y="78"/>
              </a:lnTo>
              <a:lnTo>
                <a:pt x="136" y="28"/>
              </a:lnTo>
              <a:lnTo>
                <a:pt x="120" y="38"/>
              </a:lnTo>
              <a:lnTo>
                <a:pt x="110" y="23"/>
              </a:lnTo>
              <a:cubicBezTo>
                <a:pt x="104" y="14"/>
                <a:pt x="99" y="7"/>
                <a:pt x="87" y="4"/>
              </a:cubicBezTo>
              <a:cubicBezTo>
                <a:pt x="67" y="0"/>
                <a:pt x="54" y="24"/>
                <a:pt x="54" y="24"/>
              </a:cubicBezTo>
              <a:cubicBezTo>
                <a:pt x="52" y="27"/>
                <a:pt x="57" y="30"/>
                <a:pt x="60" y="26"/>
              </a:cubicBezTo>
              <a:cubicBezTo>
                <a:pt x="63" y="22"/>
                <a:pt x="67" y="19"/>
                <a:pt x="72" y="16"/>
              </a:cubicBezTo>
              <a:close/>
              <a:moveTo>
                <a:pt x="154" y="94"/>
              </a:moveTo>
              <a:cubicBezTo>
                <a:pt x="153" y="91"/>
                <a:pt x="147" y="92"/>
                <a:pt x="149" y="97"/>
              </a:cubicBezTo>
              <a:cubicBezTo>
                <a:pt x="151" y="102"/>
                <a:pt x="151" y="107"/>
                <a:pt x="151" y="112"/>
              </a:cubicBezTo>
              <a:cubicBezTo>
                <a:pt x="150" y="129"/>
                <a:pt x="134" y="129"/>
                <a:pt x="126" y="129"/>
              </a:cubicBezTo>
              <a:lnTo>
                <a:pt x="107" y="129"/>
              </a:lnTo>
              <a:lnTo>
                <a:pt x="107" y="110"/>
              </a:lnTo>
              <a:lnTo>
                <a:pt x="63" y="135"/>
              </a:lnTo>
              <a:lnTo>
                <a:pt x="107" y="160"/>
              </a:lnTo>
              <a:lnTo>
                <a:pt x="107" y="141"/>
              </a:lnTo>
              <a:lnTo>
                <a:pt x="126" y="141"/>
              </a:lnTo>
              <a:cubicBezTo>
                <a:pt x="137" y="141"/>
                <a:pt x="145" y="139"/>
                <a:pt x="153" y="132"/>
              </a:cubicBezTo>
              <a:cubicBezTo>
                <a:pt x="168" y="119"/>
                <a:pt x="154" y="94"/>
                <a:pt x="154" y="94"/>
              </a:cubicBezTo>
              <a:close/>
            </a:path>
          </a:pathLst>
        </a:custGeom>
        <a:solidFill>
          <a:schemeClr val="accent6"/>
        </a:solidFill>
        <a:ln w="19050">
          <a:solidFill>
            <a:schemeClr val="accent6"/>
          </a:solidFill>
          <a:prstDash val="solid"/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</xdr:colOff>
      <xdr:row>4</xdr:row>
      <xdr:rowOff>17171</xdr:rowOff>
    </xdr:from>
    <xdr:to>
      <xdr:col>2</xdr:col>
      <xdr:colOff>2037779</xdr:colOff>
      <xdr:row>16</xdr:row>
      <xdr:rowOff>58800</xdr:rowOff>
    </xdr:to>
    <xdr:pic>
      <xdr:nvPicPr>
        <xdr:cNvPr id="142" name="Picture 141" descr="https://sicut.co.uk/wp-content/uploads/2019/07/Sicut-Composite-Bridge-Sleeper-1024x768.jpg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69764"/>
          <a:ext cx="3021746" cy="229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Hourglass Finished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electricity" displayName="tbl_electricity" ref="A31:D42" totalsRowShown="0">
  <autoFilter ref="A31:D42" xr:uid="{00000000-0009-0000-0100-000005000000}"/>
  <tableColumns count="4">
    <tableColumn id="1" xr3:uid="{00000000-0010-0000-0000-000001000000}" name="electricity source"/>
    <tableColumn id="2" xr3:uid="{00000000-0010-0000-0000-000002000000}" name="ERP identifier" dataDxfId="41"/>
    <tableColumn id="3" xr3:uid="{00000000-0010-0000-0000-000003000000}" name="basic" dataDxfId="40"/>
    <tableColumn id="4" xr3:uid="{00000000-0010-0000-0000-000004000000}" name="green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_heat" displayName="tbl_heat" ref="A46:D52" totalsRowShown="0">
  <autoFilter ref="A46:D52" xr:uid="{00000000-0009-0000-0100-000006000000}"/>
  <tableColumns count="4">
    <tableColumn id="1" xr3:uid="{00000000-0010-0000-0100-000001000000}" name="heat source"/>
    <tableColumn id="2" xr3:uid="{00000000-0010-0000-0100-000002000000}" name="ERP identifier"/>
    <tableColumn id="3" xr3:uid="{00000000-0010-0000-0100-000003000000}" name="basic" dataDxfId="38"/>
    <tableColumn id="4" xr3:uid="{00000000-0010-0000-0100-000004000000}" name="green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l_transport" displayName="tbl_transport" ref="A56:F61" totalsRowShown="0">
  <autoFilter ref="A56:F61" xr:uid="{00000000-0009-0000-0100-000007000000}"/>
  <tableColumns count="6">
    <tableColumn id="1" xr3:uid="{00000000-0010-0000-0200-000001000000}" name="transport mode"/>
    <tableColumn id="2" xr3:uid="{00000000-0010-0000-0200-000002000000}" name="ERP identifier"/>
    <tableColumn id="3" xr3:uid="{00000000-0010-0000-0200-000003000000}" name="basic_land" dataDxfId="36"/>
    <tableColumn id="4" xr3:uid="{00000000-0010-0000-0200-000004000000}" name="green_land" dataDxfId="35"/>
    <tableColumn id="5" xr3:uid="{00000000-0010-0000-0200-000005000000}" name="basic_overseas" dataDxfId="34"/>
    <tableColumn id="6" xr3:uid="{00000000-0010-0000-0200-000006000000}" name="green_overseas" dataDxfId="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material" displayName="tbl_material" ref="A6:V20" totalsRowShown="0" headerRowDxfId="32" dataDxfId="31">
  <autoFilter ref="A6:V20" xr:uid="{00000000-0009-0000-0100-000002000000}"/>
  <tableColumns count="22">
    <tableColumn id="2" xr3:uid="{00000000-0010-0000-0300-000002000000}" name="material" dataDxfId="30"/>
    <tableColumn id="23" xr3:uid="{00000000-0010-0000-0300-000017000000}" name="sleeper type" dataDxfId="29"/>
    <tableColumn id="1" xr3:uid="{00000000-0010-0000-0300-000001000000}" name="ERP identifier" dataDxfId="28"/>
    <tableColumn id="3" xr3:uid="{00000000-0010-0000-0300-000003000000}" name="use" dataDxfId="27"/>
    <tableColumn id="4" xr3:uid="{00000000-0010-0000-0300-000004000000}" name="mass" dataDxfId="26"/>
    <tableColumn id="5" xr3:uid="{00000000-0010-0000-0300-000005000000}" name="remarks" dataDxfId="25"/>
    <tableColumn id="6" xr3:uid="{00000000-0010-0000-0300-000006000000}" name="basic_primary material content" dataDxfId="24"/>
    <tableColumn id="7" xr3:uid="{00000000-0010-0000-0300-000007000000}" name="green_primary material content" dataDxfId="23"/>
    <tableColumn id="8" xr3:uid="{00000000-0010-0000-0300-000008000000}" name="manufacturing losses" dataDxfId="22"/>
    <tableColumn id="9" xr3:uid="{00000000-0010-0000-0300-000009000000}" name="collection rate" dataDxfId="21"/>
    <tableColumn id="10" xr3:uid="{00000000-0010-0000-0300-00000A000000}" name="recycling rate" dataDxfId="20"/>
    <tableColumn id="11" xr3:uid="{00000000-0010-0000-0300-00000B000000}" name="cascading rate" dataDxfId="19"/>
    <tableColumn id="12" xr3:uid="{00000000-0010-0000-0300-00000C000000}" name="electricity to manufacture product" dataDxfId="18"/>
    <tableColumn id="13" xr3:uid="{00000000-0010-0000-0300-00000D000000}" name="electricity to recycle/cascade product" dataDxfId="17"/>
    <tableColumn id="14" xr3:uid="{00000000-0010-0000-0300-00000E000000}" name="heat to manufacture product" dataDxfId="16"/>
    <tableColumn id="15" xr3:uid="{00000000-0010-0000-0300-00000F000000}" name="heat to recycle/cascade product" dataDxfId="15"/>
    <tableColumn id="16" xr3:uid="{00000000-0010-0000-0300-000010000000}" name="basic_collection rate" dataDxfId="14"/>
    <tableColumn id="17" xr3:uid="{00000000-0010-0000-0300-000011000000}" name="green_collection rate" dataDxfId="13"/>
    <tableColumn id="18" xr3:uid="{00000000-0010-0000-0300-000012000000}" name="basic_recycling rate" dataDxfId="12"/>
    <tableColumn id="19" xr3:uid="{00000000-0010-0000-0300-000013000000}" name="green_recycling rate" dataDxfId="11"/>
    <tableColumn id="20" xr3:uid="{00000000-0010-0000-0300-000014000000}" name="basic_cascading rate" dataDxfId="10"/>
    <tableColumn id="21" xr3:uid="{00000000-0010-0000-0300-000015000000}" name="green_cascading rate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_sleeper" displayName="tbl_sleeper" ref="A24:F27" totalsRowShown="0" headerRowDxfId="8">
  <autoFilter ref="A24:F27" xr:uid="{00000000-0009-0000-0100-000003000000}"/>
  <tableColumns count="6">
    <tableColumn id="1" xr3:uid="{00000000-0010-0000-0400-000001000000}" name="sleeper type"/>
    <tableColumn id="2" xr3:uid="{00000000-0010-0000-0400-000002000000}" name="lifetime [a]"/>
    <tableColumn id="3" xr3:uid="{00000000-0010-0000-0400-000003000000}" name="manufacturing transport"/>
    <tableColumn id="4" xr3:uid="{00000000-0010-0000-0400-000004000000}" name="installation transport"/>
    <tableColumn id="5" xr3:uid="{00000000-0010-0000-0400-000005000000}" name="disposal transport"/>
    <tableColumn id="6" xr3:uid="{00000000-0010-0000-0400-000006000000}" name="railway gravel thickness [m]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bl_ERP" displayName="tbl_ERP" ref="A4:H61" totalsRowShown="0" headerRowDxfId="7">
  <autoFilter ref="A4:H61" xr:uid="{00000000-0009-0000-0100-000001000000}"/>
  <tableColumns count="8">
    <tableColumn id="1" xr3:uid="{00000000-0010-0000-0500-000001000000}" name="Identifier" dataDxfId="6"/>
    <tableColumn id="2" xr3:uid="{00000000-0010-0000-0500-000002000000}" name="Process/product" dataDxfId="5"/>
    <tableColumn id="3" xr3:uid="{00000000-0010-0000-0500-000003000000}" name="Unit" dataDxfId="4"/>
    <tableColumn id="4" xr3:uid="{00000000-0010-0000-0500-000004000000}" name="FU" dataDxfId="3"/>
    <tableColumn id="5" xr3:uid="{00000000-0010-0000-0500-000005000000}" name="version" dataDxfId="2"/>
    <tableColumn id="6" xr3:uid="{00000000-0010-0000-0500-000006000000}" name="category" dataDxfId="1"/>
    <tableColumn id="7" xr3:uid="{00000000-0010-0000-0500-000007000000}" name="ERP effective [FU/a]" dataDxfId="0"/>
    <tableColumn id="8" xr3:uid="{00000000-0010-0000-0500-000008000000}" name="limiting bounda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X71"/>
  <sheetViews>
    <sheetView topLeftCell="A28" zoomScale="70" zoomScaleNormal="70" workbookViewId="0">
      <selection activeCell="P46" sqref="P46"/>
    </sheetView>
  </sheetViews>
  <sheetFormatPr defaultColWidth="9.15625" defaultRowHeight="14.4" x14ac:dyDescent="0.55000000000000004"/>
  <cols>
    <col min="1" max="77" width="12.578125" customWidth="1"/>
    <col min="88" max="88" width="12.41796875" bestFit="1" customWidth="1"/>
    <col min="96" max="119" width="8.83984375" customWidth="1"/>
  </cols>
  <sheetData>
    <row r="1" spans="1:100" s="8" customFormat="1" x14ac:dyDescent="0.55000000000000004">
      <c r="A1" s="8" t="s">
        <v>36</v>
      </c>
    </row>
    <row r="10" spans="1:100" x14ac:dyDescent="0.55000000000000004">
      <c r="Y10" s="2"/>
      <c r="Z10" s="2"/>
    </row>
    <row r="11" spans="1:100" x14ac:dyDescent="0.55000000000000004">
      <c r="Y11" s="2"/>
      <c r="Z11" s="2"/>
      <c r="CP11" s="2"/>
      <c r="CQ11" s="2"/>
      <c r="CR11" s="2"/>
      <c r="CS11" s="2"/>
      <c r="CT11" s="2"/>
      <c r="CU11" s="2"/>
      <c r="CV11" s="2"/>
    </row>
    <row r="12" spans="1:100" x14ac:dyDescent="0.55000000000000004">
      <c r="Y12" s="2"/>
      <c r="Z12" s="2"/>
      <c r="CP12" s="2"/>
      <c r="CQ12" s="2"/>
      <c r="CR12" s="2"/>
      <c r="CS12" s="2"/>
      <c r="CT12" s="2"/>
      <c r="CU12" s="2"/>
      <c r="CV12" s="2"/>
    </row>
    <row r="13" spans="1:100" x14ac:dyDescent="0.55000000000000004">
      <c r="Y13" s="2"/>
      <c r="Z13" s="2"/>
      <c r="CP13" s="2"/>
      <c r="CQ13" s="2"/>
      <c r="CR13" s="2"/>
      <c r="CS13" s="2"/>
      <c r="CT13" s="2"/>
      <c r="CU13" s="2"/>
      <c r="CV13" s="2"/>
    </row>
    <row r="14" spans="1:100" x14ac:dyDescent="0.55000000000000004">
      <c r="Y14" s="2"/>
      <c r="Z14" s="2"/>
      <c r="CP14" s="2"/>
      <c r="CQ14" s="2"/>
      <c r="CR14" s="2"/>
      <c r="CS14" s="2"/>
      <c r="CT14" s="2"/>
      <c r="CU14" s="2"/>
      <c r="CV14" s="2"/>
    </row>
    <row r="15" spans="1:100" x14ac:dyDescent="0.55000000000000004">
      <c r="Y15" s="2"/>
      <c r="Z15" s="2"/>
      <c r="CP15" s="2"/>
      <c r="CQ15" s="2"/>
      <c r="CR15" s="2"/>
      <c r="CS15" s="2"/>
      <c r="CT15" s="2"/>
      <c r="CU15" s="2"/>
      <c r="CV15" s="2"/>
    </row>
    <row r="16" spans="1:100" x14ac:dyDescent="0.55000000000000004">
      <c r="CP16" s="2"/>
      <c r="CQ16" s="2"/>
      <c r="CR16" s="2"/>
      <c r="CS16" s="2"/>
      <c r="CT16" s="2"/>
      <c r="CU16" s="2"/>
      <c r="CV16" s="2"/>
    </row>
    <row r="17" spans="94:100" x14ac:dyDescent="0.55000000000000004">
      <c r="CP17" s="45"/>
      <c r="CQ17" s="45"/>
      <c r="CR17" s="45"/>
      <c r="CS17" s="45"/>
      <c r="CT17" s="45"/>
      <c r="CU17" s="45"/>
      <c r="CV17" s="45"/>
    </row>
    <row r="43" spans="1:128" x14ac:dyDescent="0.55000000000000004">
      <c r="BB43" s="42"/>
      <c r="BC43" s="42"/>
      <c r="BD43" s="42"/>
      <c r="BE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22"/>
      <c r="DS43" s="22"/>
      <c r="DT43" s="22"/>
      <c r="DU43" s="22"/>
      <c r="DV43" s="22"/>
      <c r="DW43" s="22"/>
      <c r="DX43" s="22"/>
    </row>
    <row r="44" spans="1:128" x14ac:dyDescent="0.55000000000000004">
      <c r="BB44" s="42"/>
      <c r="BC44" s="42"/>
      <c r="BD44" s="42"/>
      <c r="BE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22"/>
      <c r="DS44" s="22"/>
      <c r="DT44" s="22"/>
      <c r="DU44" s="22"/>
      <c r="DV44" s="22"/>
      <c r="DW44" s="22"/>
      <c r="DX44" s="22"/>
    </row>
    <row r="45" spans="1:128" x14ac:dyDescent="0.55000000000000004">
      <c r="B45" t="s">
        <v>310</v>
      </c>
      <c r="C45" t="s">
        <v>310</v>
      </c>
      <c r="D45" t="s">
        <v>310</v>
      </c>
      <c r="E45" t="str">
        <f>RP_wood!O3</f>
        <v>wo_04</v>
      </c>
      <c r="F45" t="str">
        <f>RP_wood!R3</f>
        <v>wo_05</v>
      </c>
      <c r="G45" t="str">
        <f>RP_wood!U3</f>
        <v>wo_06</v>
      </c>
      <c r="H45" t="s">
        <v>311</v>
      </c>
      <c r="I45" t="s">
        <v>311</v>
      </c>
      <c r="J45" t="str">
        <f>RP_concrete!L3</f>
        <v>co_03</v>
      </c>
      <c r="K45" t="str">
        <f>RP_concrete!O3</f>
        <v>co_04</v>
      </c>
      <c r="L45" t="str">
        <f>RP_concrete!R3</f>
        <v>co_05</v>
      </c>
      <c r="M45" t="s">
        <v>178</v>
      </c>
      <c r="N45" t="s">
        <v>178</v>
      </c>
      <c r="O45" t="s">
        <v>178</v>
      </c>
      <c r="P45" t="s">
        <v>178</v>
      </c>
      <c r="Q45" t="s">
        <v>178</v>
      </c>
      <c r="BB45" s="42"/>
      <c r="BC45" s="42"/>
      <c r="BD45" s="42"/>
      <c r="BE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22"/>
      <c r="DS45" s="22"/>
      <c r="DT45" s="22"/>
      <c r="DU45" s="22"/>
      <c r="DV45" s="22"/>
      <c r="DW45" s="22"/>
      <c r="DX45" s="22"/>
    </row>
    <row r="46" spans="1:128" x14ac:dyDescent="0.55000000000000004">
      <c r="B46" t="s">
        <v>326</v>
      </c>
      <c r="C46" t="s">
        <v>327</v>
      </c>
      <c r="D46" t="s">
        <v>328</v>
      </c>
      <c r="E46" t="str">
        <f>RP_wood!O4</f>
        <v>Charles idea</v>
      </c>
      <c r="H46" t="s">
        <v>324</v>
      </c>
      <c r="I46" t="s">
        <v>325</v>
      </c>
      <c r="M46" t="s">
        <v>322</v>
      </c>
      <c r="N46" t="s">
        <v>329</v>
      </c>
      <c r="O46" t="s">
        <v>330</v>
      </c>
      <c r="P46" t="s">
        <v>325</v>
      </c>
      <c r="Q46" t="s">
        <v>323</v>
      </c>
      <c r="BB46" s="42"/>
      <c r="BC46" s="42"/>
      <c r="BD46" s="42"/>
      <c r="BE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22"/>
      <c r="DS46" s="22"/>
      <c r="DT46" s="22"/>
      <c r="DU46" s="22"/>
      <c r="DV46" s="22"/>
      <c r="DW46" s="22"/>
      <c r="DX46" s="22"/>
    </row>
    <row r="47" spans="1:128" x14ac:dyDescent="0.55000000000000004">
      <c r="A47" s="1" t="s">
        <v>301</v>
      </c>
      <c r="B47" s="60">
        <f>RP_wood!G10</f>
        <v>9.8466666666666664E-13</v>
      </c>
      <c r="C47" s="61">
        <f>RP_wood!J10</f>
        <v>1.19E-12</v>
      </c>
      <c r="D47" s="61">
        <f>RP_wood!M10</f>
        <v>9.8466666666666664E-13</v>
      </c>
      <c r="E47" s="60">
        <f>RP_wood!P10</f>
        <v>1.0266666666666667E-12</v>
      </c>
      <c r="F47" s="61"/>
      <c r="G47" s="61"/>
      <c r="H47" s="61">
        <f>RP_concrete!G10</f>
        <v>2.5957924864401849E-12</v>
      </c>
      <c r="I47" s="61">
        <f>RP_concrete!J10</f>
        <v>2.1121044454885973E-12</v>
      </c>
      <c r="J47" s="61"/>
      <c r="K47" s="61"/>
      <c r="L47" s="61"/>
      <c r="M47" s="61">
        <f>RP_SICUT!G10</f>
        <v>9.2134868624090319E-12</v>
      </c>
      <c r="N47" s="61">
        <f>RP_SICUT!J10</f>
        <v>1.0034490642227668E-12</v>
      </c>
      <c r="O47" s="61">
        <f>RP_SICUT!M10</f>
        <v>6.6896604281517763E-13</v>
      </c>
      <c r="P47" s="61">
        <f>RP_SICUT!P10</f>
        <v>5.017245321113834E-13</v>
      </c>
      <c r="Q47" s="61">
        <f>RP_SICUT!S10</f>
        <v>4.606743431204516E-12</v>
      </c>
      <c r="BB47" s="42"/>
      <c r="BC47" s="42"/>
      <c r="BD47" s="42"/>
      <c r="BE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</row>
    <row r="48" spans="1:128" x14ac:dyDescent="0.55000000000000004">
      <c r="A48" t="s">
        <v>302</v>
      </c>
      <c r="B48" s="62"/>
      <c r="H48" s="2">
        <f>RP_concrete!G11</f>
        <v>1.5601221291383827E-14</v>
      </c>
      <c r="I48" s="2">
        <f>RP_concrete!J11</f>
        <v>2.7980451229112291E-15</v>
      </c>
      <c r="J48" s="2"/>
      <c r="K48" s="2"/>
      <c r="L48" s="2"/>
      <c r="Q48" s="63"/>
      <c r="BB48" s="42"/>
      <c r="BC48" s="42"/>
      <c r="BD48" s="42"/>
      <c r="BE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</row>
    <row r="49" spans="1:121" x14ac:dyDescent="0.55000000000000004">
      <c r="A49" t="s">
        <v>303</v>
      </c>
      <c r="B49" s="62"/>
      <c r="H49" s="2">
        <f>RP_concrete!G12</f>
        <v>3.5753622136409879E-13</v>
      </c>
      <c r="I49" s="2">
        <f>RP_concrete!J12</f>
        <v>9.5150768588832769E-14</v>
      </c>
      <c r="J49" s="2"/>
      <c r="K49" s="2"/>
      <c r="L49" s="2"/>
      <c r="N49" s="2">
        <f>RP_SICUT!J11</f>
        <v>4.7791108392775757E-13</v>
      </c>
      <c r="O49" s="2">
        <f>RP_SICUT!M11</f>
        <v>3.1860738928517168E-13</v>
      </c>
      <c r="P49" s="2">
        <f>RP_SICUT!P11</f>
        <v>2.3895554196387878E-13</v>
      </c>
      <c r="Q49" s="64">
        <f>RP_SICUT!S11</f>
        <v>1.3224388897726983E-12</v>
      </c>
      <c r="BB49" s="42"/>
      <c r="BC49" s="42"/>
      <c r="BD49" s="42"/>
      <c r="BE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</row>
    <row r="50" spans="1:121" x14ac:dyDescent="0.55000000000000004">
      <c r="A50" s="1" t="s">
        <v>304</v>
      </c>
      <c r="B50" s="65">
        <f>RP_wood!G11</f>
        <v>2.0298830632284325E-13</v>
      </c>
      <c r="C50" s="2">
        <f>RP_wood!J11</f>
        <v>2.0298830632284325E-13</v>
      </c>
      <c r="D50" s="2">
        <f>RP_wood!M11</f>
        <v>2.0298830632284325E-13</v>
      </c>
      <c r="E50" s="65">
        <f>RP_wood!P11</f>
        <v>2.0298830632284307E-12</v>
      </c>
      <c r="F50" s="2"/>
      <c r="G50" s="2"/>
      <c r="H50" s="2">
        <f>RP_concrete!G13</f>
        <v>1.1388866242211697E-12</v>
      </c>
      <c r="I50" s="2">
        <f>RP_concrete!J13</f>
        <v>1.0871190503929348E-12</v>
      </c>
      <c r="J50" s="2"/>
      <c r="K50" s="2"/>
      <c r="L50" s="2"/>
      <c r="M50" s="2">
        <f>RP_SICUT!G11</f>
        <v>2.6448777795453965E-12</v>
      </c>
      <c r="Q50" s="64"/>
      <c r="BB50" s="42"/>
      <c r="BC50" s="42"/>
      <c r="BD50" s="42"/>
      <c r="BE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</row>
    <row r="51" spans="1:121" x14ac:dyDescent="0.55000000000000004">
      <c r="A51" s="1" t="s">
        <v>305</v>
      </c>
      <c r="B51" s="65">
        <f>RP_wood!G12</f>
        <v>2.1389085979136346E-12</v>
      </c>
      <c r="C51" s="2">
        <f>RP_wood!J12</f>
        <v>2.1389085979136346E-12</v>
      </c>
      <c r="D51" s="2">
        <f>RP_wood!M12</f>
        <v>2.1389085979136346E-12</v>
      </c>
      <c r="E51" s="65">
        <f>RP_wood!P12</f>
        <v>2.1389085979136346E-12</v>
      </c>
      <c r="F51" s="2"/>
      <c r="G51" s="2"/>
      <c r="Q51" s="63"/>
      <c r="AY51" s="45"/>
      <c r="AZ51" s="45"/>
      <c r="BA51" s="45"/>
      <c r="BB51" s="45"/>
      <c r="BC51" s="45"/>
      <c r="BD51" s="45"/>
      <c r="BE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</row>
    <row r="52" spans="1:121" x14ac:dyDescent="0.55000000000000004">
      <c r="A52" s="1" t="s">
        <v>306</v>
      </c>
      <c r="B52" s="65">
        <f>RP_wood!G13</f>
        <v>3.4746134830186673E-12</v>
      </c>
      <c r="C52" s="2">
        <f>RP_wood!J13</f>
        <v>3.5034228337810372E-12</v>
      </c>
      <c r="D52" s="2">
        <f>RP_wood!M13</f>
        <v>3.0957621935564555E-12</v>
      </c>
      <c r="E52" s="65">
        <f>RP_wood!P13</f>
        <v>1.7848694798905748E-11</v>
      </c>
      <c r="F52" s="2"/>
      <c r="G52" s="2"/>
      <c r="H52" s="2">
        <f>RP_concrete!G14</f>
        <v>8.8357249882803691E-13</v>
      </c>
      <c r="I52" s="2">
        <f>RP_concrete!J14</f>
        <v>8.8357249882803691E-13</v>
      </c>
      <c r="J52" s="2"/>
      <c r="K52" s="2"/>
      <c r="L52" s="2"/>
      <c r="M52" s="2">
        <f>RP_SICUT!G12</f>
        <v>2.4050663359656901E-12</v>
      </c>
      <c r="N52" s="2">
        <f>RP_SICUT!J12</f>
        <v>2.4050663359656901E-12</v>
      </c>
      <c r="O52" s="2">
        <f>RP_SICUT!M12</f>
        <v>1.6033775573104601E-12</v>
      </c>
      <c r="P52" s="2">
        <f>RP_SICUT!P12</f>
        <v>1.2025331679828451E-12</v>
      </c>
      <c r="Q52" s="64">
        <f>RP_SICUT!S12</f>
        <v>1.2025331679828451E-12</v>
      </c>
    </row>
    <row r="53" spans="1:121" x14ac:dyDescent="0.55000000000000004">
      <c r="A53" s="1" t="s">
        <v>307</v>
      </c>
      <c r="B53" s="65">
        <f>RP_wood!G14</f>
        <v>1.2374461437605777E-14</v>
      </c>
      <c r="C53" s="2">
        <f>RP_wood!J14</f>
        <v>1.2374461437605777E-14</v>
      </c>
      <c r="D53" s="2">
        <f>RP_wood!M14</f>
        <v>3.1499999999999999E-16</v>
      </c>
      <c r="E53" s="65">
        <f>RP_wood!P14</f>
        <v>1.5971434305707735E-14</v>
      </c>
      <c r="F53" s="2"/>
      <c r="G53" s="2"/>
      <c r="H53" s="2">
        <f>RP_concrete!G15</f>
        <v>0</v>
      </c>
      <c r="I53" s="2">
        <f>RP_concrete!J15</f>
        <v>0</v>
      </c>
      <c r="J53" s="2"/>
      <c r="K53" s="2"/>
      <c r="L53" s="2"/>
      <c r="M53" s="2">
        <f>RP_SICUT!G13</f>
        <v>1.546807679700722E-13</v>
      </c>
      <c r="N53" s="2">
        <f>RP_SICUT!J13</f>
        <v>1.546807679700722E-13</v>
      </c>
      <c r="O53" s="2">
        <f>RP_SICUT!M13</f>
        <v>1.0312051198004816E-13</v>
      </c>
      <c r="P53" s="2">
        <f>RP_SICUT!P13</f>
        <v>7.7340383985036099E-14</v>
      </c>
      <c r="Q53" s="64">
        <f>RP_SICUT!S13</f>
        <v>7.7340383985036099E-14</v>
      </c>
    </row>
    <row r="54" spans="1:121" x14ac:dyDescent="0.55000000000000004">
      <c r="A54" s="1" t="s">
        <v>308</v>
      </c>
      <c r="B54" s="65">
        <f>RP_wood!G15</f>
        <v>4.5695932667340553E-14</v>
      </c>
      <c r="C54" s="2">
        <f>RP_wood!J15</f>
        <v>4.5695932667340553E-14</v>
      </c>
      <c r="D54" s="2">
        <f>RP_wood!M15</f>
        <v>2.928920481837421E-14</v>
      </c>
      <c r="E54" s="65">
        <f>RP_wood!P15</f>
        <v>2.1225264914157073E-12</v>
      </c>
      <c r="F54" s="2"/>
      <c r="G54" s="2"/>
      <c r="H54" s="2">
        <f>RP_concrete!G16</f>
        <v>2.4779963486885042E-14</v>
      </c>
      <c r="I54" s="2">
        <f>RP_concrete!J16</f>
        <v>2.4779963486885042E-14</v>
      </c>
      <c r="J54" s="2"/>
      <c r="K54" s="2"/>
      <c r="L54" s="2"/>
      <c r="M54" s="2">
        <f>RP_SICUT!G14</f>
        <v>5.7119915834175698E-14</v>
      </c>
      <c r="N54" s="2">
        <f>RP_SICUT!J14</f>
        <v>5.7119915834175698E-14</v>
      </c>
      <c r="O54" s="2">
        <f>RP_SICUT!M14</f>
        <v>3.8079943889450463E-14</v>
      </c>
      <c r="P54" s="2">
        <f>RP_SICUT!P14</f>
        <v>2.8559957917087849E-14</v>
      </c>
      <c r="Q54" s="64">
        <f>RP_SICUT!S14</f>
        <v>2.8559957917087849E-14</v>
      </c>
    </row>
    <row r="55" spans="1:121" ht="14.7" thickBot="1" x14ac:dyDescent="0.6">
      <c r="A55" s="1" t="s">
        <v>309</v>
      </c>
      <c r="B55" s="66">
        <f>RP_wood!G16</f>
        <v>0</v>
      </c>
      <c r="C55" s="67">
        <f>RP_wood!J16</f>
        <v>0</v>
      </c>
      <c r="D55" s="67">
        <f>RP_wood!M16</f>
        <v>0</v>
      </c>
      <c r="E55" s="66">
        <f>RP_wood!P16</f>
        <v>0</v>
      </c>
      <c r="F55" s="67"/>
      <c r="G55" s="67"/>
      <c r="H55" s="67">
        <f>RP_concrete!G17</f>
        <v>0</v>
      </c>
      <c r="I55" s="67">
        <f>RP_concrete!J17</f>
        <v>0</v>
      </c>
      <c r="J55" s="67"/>
      <c r="K55" s="67"/>
      <c r="L55" s="67"/>
      <c r="M55" s="67">
        <f>RP_SICUT!G15</f>
        <v>0</v>
      </c>
      <c r="N55" s="67">
        <f>RP_SICUT!J15</f>
        <v>0</v>
      </c>
      <c r="O55" s="67">
        <f>RP_SICUT!M15</f>
        <v>0</v>
      </c>
      <c r="P55" s="67">
        <f>RP_SICUT!P15</f>
        <v>0</v>
      </c>
      <c r="Q55" s="68">
        <f>RP_SICUT!S15</f>
        <v>0</v>
      </c>
    </row>
    <row r="56" spans="1:121" ht="14.7" thickBot="1" x14ac:dyDescent="0.6">
      <c r="A56" s="17" t="s">
        <v>43</v>
      </c>
      <c r="B56" s="45">
        <f>RP_wood!G17</f>
        <v>6.8592474480267578E-12</v>
      </c>
      <c r="C56" s="45">
        <f>RP_wood!J17</f>
        <v>7.0933901321224617E-12</v>
      </c>
      <c r="D56" s="45">
        <f>RP_wood!M17</f>
        <v>6.4519299692779744E-12</v>
      </c>
      <c r="E56" s="45">
        <f>RP_wood!P17</f>
        <v>2.5182651052435893E-11</v>
      </c>
      <c r="F56" s="45"/>
      <c r="G56" s="45"/>
      <c r="H56" s="45">
        <f>RP_concrete!G18</f>
        <v>5.0161690156317598E-12</v>
      </c>
      <c r="I56" s="45">
        <f>RP_concrete!J18</f>
        <v>4.2055247719081984E-12</v>
      </c>
      <c r="J56" s="45"/>
      <c r="K56" s="45"/>
      <c r="L56" s="45"/>
      <c r="M56" s="45">
        <f>RP_SICUT!G16</f>
        <v>1.4475231661724368E-11</v>
      </c>
      <c r="N56" s="45">
        <f>RP_SICUT!J16</f>
        <v>4.0982271679204624E-12</v>
      </c>
      <c r="O56" s="45">
        <f>RP_SICUT!M16</f>
        <v>2.732151445280308E-12</v>
      </c>
      <c r="P56" s="45">
        <f>RP_SICUT!P16</f>
        <v>2.0491135839602312E-12</v>
      </c>
      <c r="Q56" s="45">
        <f>RP_SICUT!S16</f>
        <v>7.2376158308621838E-12</v>
      </c>
    </row>
    <row r="63" spans="1:121" x14ac:dyDescent="0.55000000000000004">
      <c r="A63" t="s">
        <v>219</v>
      </c>
    </row>
    <row r="66" spans="1:4" x14ac:dyDescent="0.55000000000000004">
      <c r="B66" t="s">
        <v>176</v>
      </c>
      <c r="C66" t="s">
        <v>168</v>
      </c>
      <c r="D66" t="s">
        <v>178</v>
      </c>
    </row>
    <row r="67" spans="1:4" x14ac:dyDescent="0.55000000000000004">
      <c r="A67" s="1" t="s">
        <v>207</v>
      </c>
      <c r="B67" s="69" t="s">
        <v>224</v>
      </c>
      <c r="C67" s="70" t="s">
        <v>169</v>
      </c>
      <c r="D67" s="71" t="s">
        <v>179</v>
      </c>
    </row>
    <row r="68" spans="1:4" x14ac:dyDescent="0.55000000000000004">
      <c r="A68" t="s">
        <v>208</v>
      </c>
      <c r="B68" s="62" t="s">
        <v>1</v>
      </c>
      <c r="C68" t="s">
        <v>172</v>
      </c>
      <c r="D68" s="63" t="s">
        <v>1</v>
      </c>
    </row>
    <row r="69" spans="1:4" x14ac:dyDescent="0.55000000000000004">
      <c r="A69" t="s">
        <v>186</v>
      </c>
      <c r="B69" s="62" t="s">
        <v>1</v>
      </c>
      <c r="C69" t="s">
        <v>221</v>
      </c>
      <c r="D69" s="63" t="s">
        <v>225</v>
      </c>
    </row>
    <row r="70" spans="1:4" x14ac:dyDescent="0.55000000000000004">
      <c r="A70" s="1" t="s">
        <v>189</v>
      </c>
      <c r="B70" s="62" t="s">
        <v>223</v>
      </c>
      <c r="C70" t="s">
        <v>222</v>
      </c>
      <c r="D70" s="63" t="s">
        <v>1</v>
      </c>
    </row>
    <row r="71" spans="1:4" x14ac:dyDescent="0.55000000000000004">
      <c r="A71" s="1" t="s">
        <v>190</v>
      </c>
      <c r="B71" s="72" t="s">
        <v>220</v>
      </c>
      <c r="C71" s="73" t="s">
        <v>1</v>
      </c>
      <c r="D71" s="74" t="s">
        <v>1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V64"/>
  <sheetViews>
    <sheetView zoomScale="110" zoomScaleNormal="110" workbookViewId="0">
      <pane ySplit="6" topLeftCell="A7" activePane="bottomLeft" state="frozen"/>
      <selection pane="bottomLeft" activeCell="B27" sqref="B27"/>
    </sheetView>
  </sheetViews>
  <sheetFormatPr defaultColWidth="9.15625" defaultRowHeight="14.4" x14ac:dyDescent="0.55000000000000004"/>
  <cols>
    <col min="1" max="11" width="20.578125" customWidth="1"/>
    <col min="12" max="13" width="20.578125" style="22" customWidth="1"/>
    <col min="14" max="22" width="20.578125" customWidth="1"/>
    <col min="23" max="26" width="15.578125" customWidth="1"/>
  </cols>
  <sheetData>
    <row r="1" spans="1:22" s="8" customFormat="1" x14ac:dyDescent="0.55000000000000004">
      <c r="A1" s="8" t="s">
        <v>193</v>
      </c>
    </row>
    <row r="2" spans="1:22" x14ac:dyDescent="0.55000000000000004">
      <c r="L2"/>
      <c r="M2"/>
    </row>
    <row r="3" spans="1:22" x14ac:dyDescent="0.55000000000000004">
      <c r="G3" t="s">
        <v>130</v>
      </c>
      <c r="L3"/>
      <c r="M3"/>
      <c r="Q3" t="s">
        <v>131</v>
      </c>
    </row>
    <row r="4" spans="1:22" x14ac:dyDescent="0.55000000000000004">
      <c r="G4" s="86" t="s">
        <v>7</v>
      </c>
      <c r="H4" s="86"/>
      <c r="I4" s="87" t="s">
        <v>58</v>
      </c>
      <c r="J4" s="87"/>
      <c r="K4" s="87"/>
      <c r="L4" s="87"/>
      <c r="M4" s="81" t="s">
        <v>132</v>
      </c>
      <c r="N4" s="81"/>
      <c r="O4" s="84" t="s">
        <v>133</v>
      </c>
      <c r="P4" s="84"/>
      <c r="Q4" s="85" t="s">
        <v>128</v>
      </c>
      <c r="R4" s="85"/>
      <c r="S4" s="85"/>
      <c r="T4" s="85"/>
      <c r="U4" s="85"/>
      <c r="V4" s="85"/>
    </row>
    <row r="5" spans="1:22" x14ac:dyDescent="0.55000000000000004">
      <c r="A5" t="s">
        <v>195</v>
      </c>
      <c r="E5" t="s">
        <v>201</v>
      </c>
      <c r="G5" s="40" t="s">
        <v>126</v>
      </c>
      <c r="H5" s="41" t="s">
        <v>127</v>
      </c>
      <c r="I5" s="80" t="s">
        <v>129</v>
      </c>
      <c r="J5" s="80"/>
      <c r="K5" s="80"/>
      <c r="L5" s="80"/>
      <c r="M5" s="80" t="s">
        <v>129</v>
      </c>
      <c r="N5" s="80"/>
      <c r="O5" s="80" t="s">
        <v>129</v>
      </c>
      <c r="P5" s="80"/>
      <c r="Q5" s="40" t="s">
        <v>126</v>
      </c>
      <c r="R5" s="41" t="s">
        <v>127</v>
      </c>
      <c r="S5" s="40" t="s">
        <v>126</v>
      </c>
      <c r="T5" s="41" t="s">
        <v>127</v>
      </c>
      <c r="U5" s="40" t="s">
        <v>126</v>
      </c>
      <c r="V5" s="41" t="s">
        <v>127</v>
      </c>
    </row>
    <row r="6" spans="1:22" x14ac:dyDescent="0.55000000000000004">
      <c r="A6" s="14" t="s">
        <v>44</v>
      </c>
      <c r="B6" s="14" t="s">
        <v>197</v>
      </c>
      <c r="C6" s="14" t="s">
        <v>139</v>
      </c>
      <c r="D6" s="14" t="s">
        <v>198</v>
      </c>
      <c r="E6" s="14" t="s">
        <v>57</v>
      </c>
      <c r="F6" s="14" t="s">
        <v>199</v>
      </c>
      <c r="G6" s="14" t="s">
        <v>140</v>
      </c>
      <c r="H6" s="14" t="s">
        <v>141</v>
      </c>
      <c r="I6" s="14" t="s">
        <v>58</v>
      </c>
      <c r="J6" s="14" t="s">
        <v>8</v>
      </c>
      <c r="K6" s="14" t="s">
        <v>9</v>
      </c>
      <c r="L6" s="14" t="s">
        <v>62</v>
      </c>
      <c r="M6" s="14" t="s">
        <v>148</v>
      </c>
      <c r="N6" s="14" t="s">
        <v>154</v>
      </c>
      <c r="O6" s="14" t="s">
        <v>149</v>
      </c>
      <c r="P6" s="14" t="s">
        <v>155</v>
      </c>
      <c r="Q6" s="14" t="s">
        <v>142</v>
      </c>
      <c r="R6" s="14" t="s">
        <v>143</v>
      </c>
      <c r="S6" s="14" t="s">
        <v>144</v>
      </c>
      <c r="T6" s="14" t="s">
        <v>145</v>
      </c>
      <c r="U6" s="14" t="s">
        <v>146</v>
      </c>
      <c r="V6" s="14" t="s">
        <v>147</v>
      </c>
    </row>
    <row r="7" spans="1:22" x14ac:dyDescent="0.55000000000000004">
      <c r="A7" s="48" t="s">
        <v>253</v>
      </c>
      <c r="B7" s="48" t="s">
        <v>168</v>
      </c>
      <c r="C7" s="48" t="s">
        <v>253</v>
      </c>
      <c r="D7" s="48" t="s">
        <v>170</v>
      </c>
      <c r="E7" s="48">
        <v>170</v>
      </c>
      <c r="F7" s="48"/>
      <c r="G7" s="54">
        <v>1</v>
      </c>
      <c r="H7" s="54">
        <v>1</v>
      </c>
      <c r="I7" s="54">
        <v>0.1</v>
      </c>
      <c r="J7" s="54">
        <v>1</v>
      </c>
      <c r="K7" s="54">
        <v>0</v>
      </c>
      <c r="L7" s="54">
        <v>0.9</v>
      </c>
      <c r="M7" s="54">
        <v>0.1</v>
      </c>
      <c r="N7" s="54">
        <v>0.1</v>
      </c>
      <c r="O7" s="54">
        <v>0</v>
      </c>
      <c r="P7" s="54">
        <v>0</v>
      </c>
      <c r="Q7" s="54">
        <v>1</v>
      </c>
      <c r="R7" s="54">
        <v>1</v>
      </c>
      <c r="S7" s="54">
        <v>0</v>
      </c>
      <c r="T7" s="54">
        <v>0</v>
      </c>
      <c r="U7" s="54">
        <v>0.5</v>
      </c>
      <c r="V7" s="54">
        <v>0.8</v>
      </c>
    </row>
    <row r="8" spans="1:22" hidden="1" x14ac:dyDescent="0.55000000000000004">
      <c r="A8" s="48" t="s">
        <v>171</v>
      </c>
      <c r="B8" s="48" t="s">
        <v>168</v>
      </c>
      <c r="C8" s="48" t="s">
        <v>171</v>
      </c>
      <c r="D8" s="48" t="s">
        <v>170</v>
      </c>
      <c r="E8" s="48">
        <v>20</v>
      </c>
      <c r="F8" s="57" t="s">
        <v>175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</row>
    <row r="9" spans="1:22" x14ac:dyDescent="0.55000000000000004">
      <c r="A9" s="48" t="s">
        <v>172</v>
      </c>
      <c r="B9" s="48" t="s">
        <v>168</v>
      </c>
      <c r="C9" s="48" t="s">
        <v>172</v>
      </c>
      <c r="D9" s="48" t="s">
        <v>170</v>
      </c>
      <c r="E9" s="48">
        <v>100</v>
      </c>
      <c r="F9" s="48"/>
      <c r="G9" s="54">
        <v>1</v>
      </c>
      <c r="H9" s="54">
        <v>0.5</v>
      </c>
      <c r="I9" s="54">
        <v>0.1</v>
      </c>
      <c r="J9" s="54">
        <v>1</v>
      </c>
      <c r="K9" s="54">
        <v>0.9</v>
      </c>
      <c r="L9" s="54">
        <v>0</v>
      </c>
      <c r="M9" s="54">
        <v>0.1</v>
      </c>
      <c r="N9" s="54">
        <v>0.1</v>
      </c>
      <c r="O9" s="54">
        <v>0</v>
      </c>
      <c r="P9" s="54">
        <v>0</v>
      </c>
      <c r="Q9" s="54">
        <v>1</v>
      </c>
      <c r="R9" s="54">
        <v>1</v>
      </c>
      <c r="S9" s="54">
        <v>0.5</v>
      </c>
      <c r="T9" s="54">
        <v>0.8</v>
      </c>
      <c r="U9" s="54">
        <v>0.1</v>
      </c>
      <c r="V9" s="54">
        <v>0.15</v>
      </c>
    </row>
    <row r="10" spans="1:22" hidden="1" x14ac:dyDescent="0.55000000000000004">
      <c r="A10" s="48" t="s">
        <v>209</v>
      </c>
      <c r="B10" s="48" t="s">
        <v>168</v>
      </c>
      <c r="C10" s="48" t="s">
        <v>209</v>
      </c>
      <c r="D10" s="48" t="s">
        <v>186</v>
      </c>
      <c r="E10" s="48">
        <v>0</v>
      </c>
      <c r="F10" s="48" t="s">
        <v>226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</row>
    <row r="11" spans="1:22" x14ac:dyDescent="0.55000000000000004">
      <c r="A11" s="48" t="s">
        <v>227</v>
      </c>
      <c r="B11" s="48" t="s">
        <v>168</v>
      </c>
      <c r="C11" s="48" t="s">
        <v>227</v>
      </c>
      <c r="D11" s="48" t="s">
        <v>186</v>
      </c>
      <c r="E11" s="48">
        <v>20</v>
      </c>
      <c r="F11" s="48" t="s">
        <v>173</v>
      </c>
      <c r="G11" s="54">
        <v>1</v>
      </c>
      <c r="H11" s="54">
        <v>0.5</v>
      </c>
      <c r="I11" s="54">
        <v>0.1</v>
      </c>
      <c r="J11" s="54">
        <v>1</v>
      </c>
      <c r="K11" s="54">
        <v>0.9</v>
      </c>
      <c r="L11" s="54">
        <v>0</v>
      </c>
      <c r="M11" s="54">
        <v>1</v>
      </c>
      <c r="N11" s="54">
        <v>2</v>
      </c>
      <c r="O11" s="54">
        <v>0</v>
      </c>
      <c r="P11" s="54">
        <v>0</v>
      </c>
      <c r="Q11" s="54">
        <v>1</v>
      </c>
      <c r="R11" s="54">
        <v>1</v>
      </c>
      <c r="S11" s="54">
        <v>0.7</v>
      </c>
      <c r="T11" s="54">
        <v>0.9</v>
      </c>
      <c r="U11" s="54">
        <v>0</v>
      </c>
      <c r="V11" s="54">
        <v>0</v>
      </c>
    </row>
    <row r="12" spans="1:22" hidden="1" x14ac:dyDescent="0.55000000000000004">
      <c r="A12" s="48" t="s">
        <v>192</v>
      </c>
      <c r="B12" s="48" t="s">
        <v>168</v>
      </c>
      <c r="C12" s="48" t="s">
        <v>192</v>
      </c>
      <c r="D12" s="48" t="s">
        <v>189</v>
      </c>
      <c r="E12" s="48">
        <v>0.32</v>
      </c>
      <c r="F12" s="57" t="s">
        <v>175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</row>
    <row r="13" spans="1:22" x14ac:dyDescent="0.55000000000000004">
      <c r="A13" s="48" t="s">
        <v>180</v>
      </c>
      <c r="B13" s="48" t="s">
        <v>168</v>
      </c>
      <c r="C13" s="48" t="s">
        <v>180</v>
      </c>
      <c r="D13" s="48" t="s">
        <v>189</v>
      </c>
      <c r="E13" s="48">
        <v>5</v>
      </c>
      <c r="F13" s="48" t="s">
        <v>188</v>
      </c>
      <c r="G13" s="54">
        <v>1</v>
      </c>
      <c r="H13" s="54">
        <v>1</v>
      </c>
      <c r="I13" s="54">
        <v>0.2</v>
      </c>
      <c r="J13" s="54">
        <v>1</v>
      </c>
      <c r="K13" s="54">
        <v>0</v>
      </c>
      <c r="L13" s="54">
        <v>0.5</v>
      </c>
      <c r="M13" s="54">
        <v>1</v>
      </c>
      <c r="N13" s="54">
        <v>1</v>
      </c>
      <c r="O13" s="54">
        <v>0</v>
      </c>
      <c r="P13" s="54">
        <v>0</v>
      </c>
      <c r="Q13" s="54">
        <v>1</v>
      </c>
      <c r="R13" s="54">
        <v>1</v>
      </c>
      <c r="S13" s="54">
        <v>0</v>
      </c>
      <c r="T13" s="54">
        <v>0</v>
      </c>
      <c r="U13" s="54">
        <v>0.1</v>
      </c>
      <c r="V13" s="54">
        <v>0.2</v>
      </c>
    </row>
    <row r="14" spans="1:22" hidden="1" x14ac:dyDescent="0.55000000000000004">
      <c r="A14" s="48" t="s">
        <v>174</v>
      </c>
      <c r="B14" s="48" t="s">
        <v>168</v>
      </c>
      <c r="C14" s="48" t="s">
        <v>174</v>
      </c>
      <c r="D14" s="48" t="s">
        <v>190</v>
      </c>
      <c r="E14" s="48">
        <v>0.5</v>
      </c>
      <c r="F14" s="57" t="s">
        <v>175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</row>
    <row r="15" spans="1:22" x14ac:dyDescent="0.55000000000000004">
      <c r="A15" s="49" t="s">
        <v>250</v>
      </c>
      <c r="B15" s="49" t="s">
        <v>176</v>
      </c>
      <c r="C15" s="49" t="s">
        <v>250</v>
      </c>
      <c r="D15" s="49" t="s">
        <v>170</v>
      </c>
      <c r="E15" s="49">
        <v>70</v>
      </c>
      <c r="F15" s="49" t="s">
        <v>184</v>
      </c>
      <c r="G15" s="55">
        <v>1</v>
      </c>
      <c r="H15" s="55">
        <v>1</v>
      </c>
      <c r="I15" s="55">
        <v>0.1</v>
      </c>
      <c r="J15" s="55">
        <v>1</v>
      </c>
      <c r="K15" s="55">
        <v>0</v>
      </c>
      <c r="L15" s="55">
        <v>0.9</v>
      </c>
      <c r="M15" s="55">
        <v>0</v>
      </c>
      <c r="N15" s="55">
        <v>0.1</v>
      </c>
      <c r="O15" s="55">
        <v>0</v>
      </c>
      <c r="P15" s="55">
        <v>0</v>
      </c>
      <c r="Q15" s="55">
        <v>1</v>
      </c>
      <c r="R15" s="55">
        <v>1</v>
      </c>
      <c r="S15" s="55">
        <v>0</v>
      </c>
      <c r="T15" s="55">
        <v>0</v>
      </c>
      <c r="U15" s="55">
        <v>0</v>
      </c>
      <c r="V15" s="55">
        <v>0</v>
      </c>
    </row>
    <row r="16" spans="1:22" hidden="1" x14ac:dyDescent="0.55000000000000004">
      <c r="A16" s="49" t="s">
        <v>183</v>
      </c>
      <c r="B16" s="49" t="s">
        <v>176</v>
      </c>
      <c r="C16" s="49" t="s">
        <v>183</v>
      </c>
      <c r="D16" s="49" t="s">
        <v>170</v>
      </c>
      <c r="E16" s="49">
        <v>70</v>
      </c>
      <c r="F16" s="49" t="s">
        <v>184</v>
      </c>
      <c r="G16" s="55">
        <v>1</v>
      </c>
      <c r="H16" s="55">
        <v>1</v>
      </c>
      <c r="I16" s="55">
        <v>0.1</v>
      </c>
      <c r="J16" s="55">
        <v>1</v>
      </c>
      <c r="K16" s="55">
        <v>0</v>
      </c>
      <c r="L16" s="55">
        <v>0.9</v>
      </c>
      <c r="M16" s="55">
        <v>0</v>
      </c>
      <c r="N16" s="55">
        <v>0.1</v>
      </c>
      <c r="O16" s="55">
        <v>0</v>
      </c>
      <c r="P16" s="55">
        <v>0</v>
      </c>
      <c r="Q16" s="55">
        <v>1</v>
      </c>
      <c r="R16" s="55">
        <v>1</v>
      </c>
      <c r="S16" s="55">
        <v>0</v>
      </c>
      <c r="T16" s="55">
        <v>0</v>
      </c>
      <c r="U16" s="55">
        <v>0</v>
      </c>
      <c r="V16" s="55">
        <v>0</v>
      </c>
    </row>
    <row r="17" spans="1:22" x14ac:dyDescent="0.55000000000000004">
      <c r="A17" s="49" t="s">
        <v>227</v>
      </c>
      <c r="B17" s="49" t="s">
        <v>176</v>
      </c>
      <c r="C17" s="49" t="s">
        <v>227</v>
      </c>
      <c r="D17" s="49" t="s">
        <v>189</v>
      </c>
      <c r="E17" s="49">
        <v>12</v>
      </c>
      <c r="F17" s="49" t="s">
        <v>177</v>
      </c>
      <c r="G17" s="55">
        <v>1</v>
      </c>
      <c r="H17" s="55">
        <v>0.5</v>
      </c>
      <c r="I17" s="55">
        <v>0.1</v>
      </c>
      <c r="J17" s="55">
        <v>1</v>
      </c>
      <c r="K17" s="55">
        <v>0.9</v>
      </c>
      <c r="L17" s="55">
        <v>0</v>
      </c>
      <c r="M17" s="55">
        <v>1</v>
      </c>
      <c r="N17" s="55">
        <v>2</v>
      </c>
      <c r="O17" s="55">
        <v>0</v>
      </c>
      <c r="P17" s="55">
        <v>0</v>
      </c>
      <c r="Q17" s="55">
        <v>1</v>
      </c>
      <c r="R17" s="55">
        <v>1</v>
      </c>
      <c r="S17" s="55">
        <v>0.7</v>
      </c>
      <c r="T17" s="55">
        <v>0.9</v>
      </c>
      <c r="U17" s="55">
        <v>0</v>
      </c>
      <c r="V17" s="55">
        <v>0</v>
      </c>
    </row>
    <row r="18" spans="1:22" x14ac:dyDescent="0.55000000000000004">
      <c r="A18" s="49" t="s">
        <v>286</v>
      </c>
      <c r="B18" s="49" t="s">
        <v>176</v>
      </c>
      <c r="C18" s="49" t="s">
        <v>286</v>
      </c>
      <c r="D18" s="49" t="s">
        <v>190</v>
      </c>
      <c r="E18" s="49">
        <v>12</v>
      </c>
      <c r="F18" s="49" t="s">
        <v>191</v>
      </c>
      <c r="G18" s="55">
        <v>1</v>
      </c>
      <c r="H18" s="55">
        <v>1</v>
      </c>
      <c r="I18" s="55">
        <v>0.1</v>
      </c>
      <c r="J18" s="55">
        <v>1</v>
      </c>
      <c r="K18" s="55">
        <v>0</v>
      </c>
      <c r="L18" s="55">
        <v>0</v>
      </c>
      <c r="M18" s="55">
        <v>20</v>
      </c>
      <c r="N18" s="55">
        <v>0</v>
      </c>
      <c r="O18" s="55">
        <v>1</v>
      </c>
      <c r="P18" s="55">
        <v>0</v>
      </c>
      <c r="Q18" s="55">
        <v>0.5</v>
      </c>
      <c r="R18" s="55">
        <v>0.5</v>
      </c>
      <c r="S18" s="55">
        <v>0</v>
      </c>
      <c r="T18" s="55">
        <v>0</v>
      </c>
      <c r="U18" s="55">
        <v>0</v>
      </c>
      <c r="V18" s="55">
        <v>0</v>
      </c>
    </row>
    <row r="19" spans="1:22" x14ac:dyDescent="0.55000000000000004">
      <c r="A19" s="47" t="s">
        <v>179</v>
      </c>
      <c r="B19" s="47" t="s">
        <v>178</v>
      </c>
      <c r="C19" s="47" t="s">
        <v>179</v>
      </c>
      <c r="D19" s="47" t="s">
        <v>170</v>
      </c>
      <c r="E19" s="47">
        <v>65</v>
      </c>
      <c r="F19" s="47" t="s">
        <v>181</v>
      </c>
      <c r="G19" s="44">
        <v>0</v>
      </c>
      <c r="H19" s="44">
        <v>0</v>
      </c>
      <c r="I19" s="44">
        <v>0.1</v>
      </c>
      <c r="J19" s="44">
        <v>1</v>
      </c>
      <c r="K19" s="44">
        <v>0.9</v>
      </c>
      <c r="L19" s="44">
        <v>0</v>
      </c>
      <c r="M19" s="44">
        <v>1</v>
      </c>
      <c r="N19" s="44">
        <v>1</v>
      </c>
      <c r="O19" s="44">
        <v>0</v>
      </c>
      <c r="P19" s="44">
        <v>0</v>
      </c>
      <c r="Q19" s="44">
        <v>1</v>
      </c>
      <c r="R19" s="44">
        <v>1</v>
      </c>
      <c r="S19" s="44">
        <v>0</v>
      </c>
      <c r="T19" s="44">
        <v>0.5</v>
      </c>
      <c r="U19" s="44">
        <v>0</v>
      </c>
      <c r="V19" s="44">
        <v>0.4</v>
      </c>
    </row>
    <row r="20" spans="1:22" x14ac:dyDescent="0.55000000000000004">
      <c r="A20" s="47" t="s">
        <v>248</v>
      </c>
      <c r="B20" s="47" t="s">
        <v>178</v>
      </c>
      <c r="C20" s="47" t="s">
        <v>248</v>
      </c>
      <c r="D20" s="47" t="s">
        <v>170</v>
      </c>
      <c r="E20" s="47">
        <v>20</v>
      </c>
      <c r="F20" s="47" t="s">
        <v>182</v>
      </c>
      <c r="G20" s="44">
        <v>1</v>
      </c>
      <c r="H20" s="44">
        <v>0.5</v>
      </c>
      <c r="I20" s="44">
        <v>0.1</v>
      </c>
      <c r="J20" s="44">
        <v>1</v>
      </c>
      <c r="K20" s="44">
        <v>0.9</v>
      </c>
      <c r="L20" s="44">
        <v>0</v>
      </c>
      <c r="M20" s="44">
        <v>1</v>
      </c>
      <c r="N20" s="44">
        <v>1</v>
      </c>
      <c r="O20" s="44">
        <v>3</v>
      </c>
      <c r="P20" s="44">
        <v>3</v>
      </c>
      <c r="Q20" s="44">
        <v>1</v>
      </c>
      <c r="R20" s="44">
        <v>1</v>
      </c>
      <c r="S20" s="44">
        <v>0</v>
      </c>
      <c r="T20" s="44">
        <v>0.5</v>
      </c>
      <c r="U20" s="44">
        <v>0</v>
      </c>
      <c r="V20" s="44">
        <v>0.4</v>
      </c>
    </row>
    <row r="23" spans="1:22" x14ac:dyDescent="0.55000000000000004">
      <c r="A23" t="s">
        <v>196</v>
      </c>
      <c r="C23" s="80" t="s">
        <v>206</v>
      </c>
      <c r="D23" s="80"/>
      <c r="E23" s="80"/>
    </row>
    <row r="24" spans="1:22" x14ac:dyDescent="0.55000000000000004">
      <c r="A24" s="14" t="s">
        <v>197</v>
      </c>
      <c r="B24" s="14" t="s">
        <v>194</v>
      </c>
      <c r="C24" s="56" t="s">
        <v>203</v>
      </c>
      <c r="D24" s="56" t="s">
        <v>204</v>
      </c>
      <c r="E24" s="56" t="s">
        <v>205</v>
      </c>
      <c r="F24" s="56" t="s">
        <v>200</v>
      </c>
    </row>
    <row r="25" spans="1:22" x14ac:dyDescent="0.55000000000000004">
      <c r="A25" s="48" t="s">
        <v>168</v>
      </c>
      <c r="B25" s="48">
        <v>40</v>
      </c>
      <c r="C25" s="48"/>
      <c r="D25" s="48">
        <v>150</v>
      </c>
      <c r="E25" s="48"/>
      <c r="F25" s="48">
        <v>0.35</v>
      </c>
    </row>
    <row r="26" spans="1:22" x14ac:dyDescent="0.55000000000000004">
      <c r="A26" s="49" t="s">
        <v>176</v>
      </c>
      <c r="B26" s="49">
        <v>25</v>
      </c>
      <c r="C26" s="49"/>
      <c r="D26" s="49">
        <v>500</v>
      </c>
      <c r="E26" s="49"/>
      <c r="F26" s="49">
        <v>0.25</v>
      </c>
    </row>
    <row r="27" spans="1:22" x14ac:dyDescent="0.55000000000000004">
      <c r="A27" s="47" t="s">
        <v>178</v>
      </c>
      <c r="B27" s="47">
        <v>20</v>
      </c>
      <c r="C27" s="47"/>
      <c r="D27" s="47">
        <v>600</v>
      </c>
      <c r="E27" s="47"/>
      <c r="F27" s="47"/>
    </row>
    <row r="30" spans="1:22" x14ac:dyDescent="0.55000000000000004">
      <c r="C30" s="82" t="s">
        <v>135</v>
      </c>
      <c r="D30" s="82"/>
    </row>
    <row r="31" spans="1:22" x14ac:dyDescent="0.55000000000000004">
      <c r="A31" s="14" t="s">
        <v>134</v>
      </c>
      <c r="B31" s="14" t="s">
        <v>139</v>
      </c>
      <c r="C31" s="40" t="s">
        <v>126</v>
      </c>
      <c r="D31" s="41" t="s">
        <v>127</v>
      </c>
    </row>
    <row r="32" spans="1:22" x14ac:dyDescent="0.55000000000000004">
      <c r="A32" t="s">
        <v>70</v>
      </c>
      <c r="B32" s="1" t="s">
        <v>110</v>
      </c>
      <c r="C32" s="29">
        <v>0</v>
      </c>
      <c r="D32" s="29">
        <v>0</v>
      </c>
    </row>
    <row r="33" spans="1:7" x14ac:dyDescent="0.55000000000000004">
      <c r="A33" t="s">
        <v>71</v>
      </c>
      <c r="B33" s="1" t="s">
        <v>111</v>
      </c>
      <c r="C33" s="29">
        <v>0</v>
      </c>
      <c r="D33" s="29">
        <v>0</v>
      </c>
    </row>
    <row r="34" spans="1:7" x14ac:dyDescent="0.55000000000000004">
      <c r="A34" t="s">
        <v>72</v>
      </c>
      <c r="B34" s="1" t="s">
        <v>112</v>
      </c>
      <c r="C34" s="29">
        <v>1.9E-2</v>
      </c>
      <c r="D34" s="29">
        <v>0</v>
      </c>
    </row>
    <row r="35" spans="1:7" x14ac:dyDescent="0.55000000000000004">
      <c r="A35" t="s">
        <v>73</v>
      </c>
      <c r="B35" s="1" t="s">
        <v>113</v>
      </c>
      <c r="C35" s="29">
        <v>0.28899999999999998</v>
      </c>
      <c r="D35" s="29">
        <v>0</v>
      </c>
    </row>
    <row r="36" spans="1:7" x14ac:dyDescent="0.55000000000000004">
      <c r="A36" t="s">
        <v>74</v>
      </c>
      <c r="B36" s="1" t="s">
        <v>114</v>
      </c>
      <c r="C36" s="29">
        <v>0.01</v>
      </c>
      <c r="D36" s="29">
        <v>0.1</v>
      </c>
    </row>
    <row r="37" spans="1:7" x14ac:dyDescent="0.55000000000000004">
      <c r="A37" t="s">
        <v>75</v>
      </c>
      <c r="B37" s="1" t="s">
        <v>115</v>
      </c>
      <c r="C37" s="29">
        <v>0</v>
      </c>
      <c r="D37" s="29">
        <v>0</v>
      </c>
    </row>
    <row r="38" spans="1:7" x14ac:dyDescent="0.55000000000000004">
      <c r="A38" t="s">
        <v>289</v>
      </c>
      <c r="B38" s="1" t="s">
        <v>279</v>
      </c>
      <c r="C38" s="29">
        <v>0</v>
      </c>
      <c r="D38" s="29">
        <v>0</v>
      </c>
    </row>
    <row r="39" spans="1:7" x14ac:dyDescent="0.55000000000000004">
      <c r="A39" t="s">
        <v>77</v>
      </c>
      <c r="B39" s="1" t="s">
        <v>116</v>
      </c>
      <c r="C39" s="29">
        <v>0.02</v>
      </c>
      <c r="D39" s="29">
        <f>tbl_electricity[[#This Row],[basic]]</f>
        <v>0.02</v>
      </c>
    </row>
    <row r="40" spans="1:7" x14ac:dyDescent="0.55000000000000004">
      <c r="A40" t="s">
        <v>78</v>
      </c>
      <c r="B40" s="1" t="s">
        <v>117</v>
      </c>
      <c r="C40" s="29">
        <f>1-SUM(C32:C39,C41:C42)</f>
        <v>0.64349999999999996</v>
      </c>
      <c r="D40" s="29">
        <f>1-SUM(D32:D39,D41:D42)</f>
        <v>0.38</v>
      </c>
    </row>
    <row r="41" spans="1:7" x14ac:dyDescent="0.55000000000000004">
      <c r="A41" t="s">
        <v>288</v>
      </c>
      <c r="B41" s="1" t="s">
        <v>280</v>
      </c>
      <c r="C41" s="29">
        <v>0</v>
      </c>
      <c r="D41" s="29">
        <v>0</v>
      </c>
    </row>
    <row r="42" spans="1:7" x14ac:dyDescent="0.55000000000000004">
      <c r="A42" t="s">
        <v>287</v>
      </c>
      <c r="B42" s="1" t="s">
        <v>281</v>
      </c>
      <c r="C42" s="29">
        <v>1.8499999999999999E-2</v>
      </c>
      <c r="D42" s="29">
        <v>0.5</v>
      </c>
    </row>
    <row r="43" spans="1:7" x14ac:dyDescent="0.55000000000000004">
      <c r="B43" s="1"/>
      <c r="C43" s="29"/>
      <c r="D43" s="29"/>
      <c r="E43" s="29"/>
      <c r="F43" s="29"/>
      <c r="G43" s="29"/>
    </row>
    <row r="44" spans="1:7" x14ac:dyDescent="0.55000000000000004">
      <c r="B44" s="1"/>
      <c r="C44" s="29"/>
      <c r="D44" s="29"/>
      <c r="E44" s="29"/>
      <c r="F44" s="29"/>
      <c r="G44" s="29"/>
    </row>
    <row r="45" spans="1:7" x14ac:dyDescent="0.55000000000000004">
      <c r="C45" s="83" t="s">
        <v>136</v>
      </c>
      <c r="D45" s="83"/>
    </row>
    <row r="46" spans="1:7" x14ac:dyDescent="0.55000000000000004">
      <c r="A46" s="14" t="s">
        <v>137</v>
      </c>
      <c r="B46" s="14" t="s">
        <v>139</v>
      </c>
      <c r="C46" s="40" t="s">
        <v>126</v>
      </c>
      <c r="D46" s="41" t="s">
        <v>127</v>
      </c>
    </row>
    <row r="47" spans="1:7" x14ac:dyDescent="0.55000000000000004">
      <c r="A47" t="s">
        <v>81</v>
      </c>
      <c r="B47" t="s">
        <v>118</v>
      </c>
      <c r="C47" s="29">
        <v>0.5</v>
      </c>
      <c r="D47" s="29">
        <v>0</v>
      </c>
    </row>
    <row r="48" spans="1:7" x14ac:dyDescent="0.55000000000000004">
      <c r="A48" t="s">
        <v>290</v>
      </c>
      <c r="B48" t="s">
        <v>282</v>
      </c>
      <c r="C48" s="29">
        <v>0</v>
      </c>
      <c r="D48" s="29">
        <v>0</v>
      </c>
    </row>
    <row r="49" spans="1:8" x14ac:dyDescent="0.55000000000000004">
      <c r="A49" t="s">
        <v>150</v>
      </c>
      <c r="B49" t="s">
        <v>151</v>
      </c>
      <c r="C49" s="29">
        <v>0.5</v>
      </c>
      <c r="D49" s="29">
        <v>0</v>
      </c>
    </row>
    <row r="50" spans="1:8" x14ac:dyDescent="0.55000000000000004">
      <c r="A50" t="s">
        <v>82</v>
      </c>
      <c r="B50" t="s">
        <v>120</v>
      </c>
      <c r="C50" s="29">
        <v>0</v>
      </c>
      <c r="D50" s="29">
        <v>0</v>
      </c>
    </row>
    <row r="51" spans="1:8" x14ac:dyDescent="0.55000000000000004">
      <c r="A51" t="s">
        <v>83</v>
      </c>
      <c r="B51" t="s">
        <v>119</v>
      </c>
      <c r="C51" s="29">
        <v>0</v>
      </c>
      <c r="D51" s="29">
        <v>0.5</v>
      </c>
    </row>
    <row r="52" spans="1:8" x14ac:dyDescent="0.55000000000000004">
      <c r="A52" t="s">
        <v>152</v>
      </c>
      <c r="B52" t="s">
        <v>153</v>
      </c>
      <c r="C52" s="29">
        <v>0</v>
      </c>
      <c r="D52" s="29">
        <v>0.5</v>
      </c>
    </row>
    <row r="53" spans="1:8" x14ac:dyDescent="0.55000000000000004">
      <c r="C53" s="29"/>
      <c r="D53" s="29"/>
      <c r="E53" s="29"/>
      <c r="F53" s="29"/>
      <c r="G53" s="29"/>
      <c r="H53" s="29"/>
    </row>
    <row r="55" spans="1:8" x14ac:dyDescent="0.55000000000000004">
      <c r="C55" s="79" t="s">
        <v>166</v>
      </c>
      <c r="D55" s="79"/>
      <c r="E55" s="79" t="s">
        <v>167</v>
      </c>
      <c r="F55" s="79"/>
    </row>
    <row r="56" spans="1:8" x14ac:dyDescent="0.55000000000000004">
      <c r="A56" s="14" t="s">
        <v>138</v>
      </c>
      <c r="B56" s="14" t="s">
        <v>139</v>
      </c>
      <c r="C56" s="40" t="s">
        <v>162</v>
      </c>
      <c r="D56" s="41" t="s">
        <v>163</v>
      </c>
      <c r="E56" s="40" t="s">
        <v>164</v>
      </c>
      <c r="F56" s="41" t="s">
        <v>165</v>
      </c>
    </row>
    <row r="57" spans="1:8" x14ac:dyDescent="0.55000000000000004">
      <c r="A57" t="s">
        <v>84</v>
      </c>
      <c r="B57" t="s">
        <v>121</v>
      </c>
      <c r="C57" s="29">
        <v>0.2</v>
      </c>
      <c r="D57" s="29">
        <v>0</v>
      </c>
      <c r="E57" s="29">
        <v>0</v>
      </c>
      <c r="F57" s="29">
        <v>0</v>
      </c>
    </row>
    <row r="58" spans="1:8" x14ac:dyDescent="0.55000000000000004">
      <c r="A58" t="s">
        <v>85</v>
      </c>
      <c r="B58" t="s">
        <v>122</v>
      </c>
      <c r="C58" s="29">
        <v>0.8</v>
      </c>
      <c r="D58" s="29">
        <v>1</v>
      </c>
      <c r="E58" s="29">
        <v>0.5</v>
      </c>
      <c r="F58" s="29">
        <v>0</v>
      </c>
    </row>
    <row r="59" spans="1:8" x14ac:dyDescent="0.55000000000000004">
      <c r="A59" t="s">
        <v>86</v>
      </c>
      <c r="B59" t="s">
        <v>123</v>
      </c>
      <c r="C59" s="29">
        <v>0</v>
      </c>
      <c r="D59" s="29">
        <v>0</v>
      </c>
      <c r="E59" s="29">
        <v>0</v>
      </c>
      <c r="F59" s="29">
        <v>0</v>
      </c>
    </row>
    <row r="60" spans="1:8" x14ac:dyDescent="0.55000000000000004">
      <c r="A60" t="s">
        <v>87</v>
      </c>
      <c r="B60" t="s">
        <v>124</v>
      </c>
      <c r="C60" s="29">
        <v>0</v>
      </c>
      <c r="D60" s="29">
        <v>0</v>
      </c>
      <c r="E60" s="29">
        <v>0.5</v>
      </c>
      <c r="F60" s="29">
        <v>1</v>
      </c>
    </row>
    <row r="61" spans="1:8" x14ac:dyDescent="0.55000000000000004">
      <c r="A61" t="s">
        <v>88</v>
      </c>
      <c r="B61" t="s">
        <v>125</v>
      </c>
      <c r="C61" s="29">
        <v>0</v>
      </c>
      <c r="D61" s="29">
        <v>0</v>
      </c>
      <c r="E61" s="29">
        <v>0</v>
      </c>
      <c r="F61" s="29">
        <v>0</v>
      </c>
    </row>
    <row r="64" spans="1:8" x14ac:dyDescent="0.55000000000000004">
      <c r="A64" t="s">
        <v>157</v>
      </c>
      <c r="B64">
        <v>0.33</v>
      </c>
      <c r="C64" t="s">
        <v>1</v>
      </c>
    </row>
  </sheetData>
  <mergeCells count="13">
    <mergeCell ref="O4:P4"/>
    <mergeCell ref="Q4:V4"/>
    <mergeCell ref="G4:H4"/>
    <mergeCell ref="I4:L4"/>
    <mergeCell ref="I5:L5"/>
    <mergeCell ref="M5:N5"/>
    <mergeCell ref="O5:P5"/>
    <mergeCell ref="E55:F55"/>
    <mergeCell ref="C23:E23"/>
    <mergeCell ref="M4:N4"/>
    <mergeCell ref="C55:D55"/>
    <mergeCell ref="C30:D30"/>
    <mergeCell ref="C45:D45"/>
  </mergeCells>
  <dataValidations disablePrompts="1" count="1">
    <dataValidation type="list" allowBlank="1" showInputMessage="1" showErrorMessage="1" sqref="J44" xr:uid="{00000000-0002-0000-0100-000000000000}">
      <formula1>INDIRECT("tbl_electricity[#Headers]")</formula1>
    </dataValidation>
  </dataValidations>
  <pageMargins left="0.7" right="0.7" top="0.75" bottom="0.75" header="0.3" footer="0.3"/>
  <pageSetup paperSize="9"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18" sqref="H18"/>
    </sheetView>
  </sheetViews>
  <sheetFormatPr defaultColWidth="9.15625" defaultRowHeight="14.4" x14ac:dyDescent="0.55000000000000004"/>
  <cols>
    <col min="1" max="1" width="38.26171875" bestFit="1" customWidth="1"/>
    <col min="2" max="2" width="35.734375" customWidth="1"/>
    <col min="3" max="3" width="12" bestFit="1" customWidth="1"/>
    <col min="4" max="4" width="5" customWidth="1"/>
    <col min="5" max="5" width="13.20703125" customWidth="1"/>
    <col min="6" max="6" width="14" bestFit="1" customWidth="1"/>
    <col min="7" max="7" width="19.7890625" bestFit="1" customWidth="1"/>
    <col min="8" max="8" width="17.83984375" bestFit="1" customWidth="1"/>
  </cols>
  <sheetData>
    <row r="1" spans="1:11" s="8" customFormat="1" x14ac:dyDescent="0.55000000000000004">
      <c r="A1" s="8" t="s">
        <v>108</v>
      </c>
    </row>
    <row r="2" spans="1:11" x14ac:dyDescent="0.55000000000000004">
      <c r="A2" t="s">
        <v>103</v>
      </c>
      <c r="C2" t="s">
        <v>69</v>
      </c>
    </row>
    <row r="3" spans="1:11" x14ac:dyDescent="0.55000000000000004">
      <c r="A3" s="14"/>
      <c r="B3" s="14"/>
      <c r="C3" s="14"/>
      <c r="D3" s="14"/>
      <c r="E3" s="14"/>
      <c r="F3" s="14"/>
      <c r="G3" s="14"/>
      <c r="H3" s="14"/>
    </row>
    <row r="4" spans="1:11" x14ac:dyDescent="0.55000000000000004">
      <c r="A4" s="14" t="s">
        <v>56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109</v>
      </c>
      <c r="H4" s="14" t="s">
        <v>16</v>
      </c>
    </row>
    <row r="5" spans="1:11" ht="15" x14ac:dyDescent="0.65">
      <c r="A5" s="77" t="s">
        <v>110</v>
      </c>
      <c r="B5" s="75" t="s">
        <v>70</v>
      </c>
      <c r="C5" s="75" t="s">
        <v>54</v>
      </c>
      <c r="D5" s="75">
        <v>1</v>
      </c>
      <c r="E5" s="75" t="s">
        <v>53</v>
      </c>
      <c r="F5" s="75" t="s">
        <v>41</v>
      </c>
      <c r="G5" s="76">
        <v>756806038323.21313</v>
      </c>
      <c r="H5" s="75" t="s">
        <v>18</v>
      </c>
    </row>
    <row r="6" spans="1:11" ht="15" x14ac:dyDescent="0.65">
      <c r="A6" s="77" t="s">
        <v>111</v>
      </c>
      <c r="B6" s="75" t="s">
        <v>71</v>
      </c>
      <c r="C6" s="75" t="s">
        <v>54</v>
      </c>
      <c r="D6" s="75">
        <v>1</v>
      </c>
      <c r="E6" s="75" t="s">
        <v>53</v>
      </c>
      <c r="F6" s="75" t="s">
        <v>41</v>
      </c>
      <c r="G6" s="76">
        <v>880208103798.97388</v>
      </c>
      <c r="H6" s="75" t="s">
        <v>18</v>
      </c>
    </row>
    <row r="7" spans="1:11" ht="15" x14ac:dyDescent="0.65">
      <c r="A7" s="77" t="s">
        <v>112</v>
      </c>
      <c r="B7" s="75" t="s">
        <v>72</v>
      </c>
      <c r="C7" s="75" t="s">
        <v>54</v>
      </c>
      <c r="D7" s="75">
        <v>1</v>
      </c>
      <c r="E7" s="75" t="s">
        <v>53</v>
      </c>
      <c r="F7" s="75" t="s">
        <v>41</v>
      </c>
      <c r="G7" s="76">
        <v>1421033763401.1748</v>
      </c>
      <c r="H7" s="75" t="s">
        <v>18</v>
      </c>
    </row>
    <row r="8" spans="1:11" ht="15" x14ac:dyDescent="0.65">
      <c r="A8" s="77" t="s">
        <v>113</v>
      </c>
      <c r="B8" s="75" t="s">
        <v>73</v>
      </c>
      <c r="C8" s="75" t="s">
        <v>54</v>
      </c>
      <c r="D8" s="75">
        <v>1</v>
      </c>
      <c r="E8" s="75" t="s">
        <v>53</v>
      </c>
      <c r="F8" s="75" t="s">
        <v>41</v>
      </c>
      <c r="G8" s="76">
        <v>7031194165791.167</v>
      </c>
      <c r="H8" s="75" t="s">
        <v>18</v>
      </c>
    </row>
    <row r="9" spans="1:11" ht="15" x14ac:dyDescent="0.65">
      <c r="A9" s="77" t="s">
        <v>114</v>
      </c>
      <c r="B9" s="75" t="s">
        <v>74</v>
      </c>
      <c r="C9" s="75" t="s">
        <v>54</v>
      </c>
      <c r="D9" s="75">
        <v>1</v>
      </c>
      <c r="E9" s="75" t="s">
        <v>53</v>
      </c>
      <c r="F9" s="75" t="s">
        <v>41</v>
      </c>
      <c r="G9" s="76">
        <v>1130000000000</v>
      </c>
      <c r="H9" s="75" t="s">
        <v>102</v>
      </c>
      <c r="K9" t="s">
        <v>331</v>
      </c>
    </row>
    <row r="10" spans="1:11" x14ac:dyDescent="0.55000000000000004">
      <c r="A10" s="75" t="s">
        <v>115</v>
      </c>
      <c r="B10" s="75" t="s">
        <v>75</v>
      </c>
      <c r="C10" s="75" t="s">
        <v>54</v>
      </c>
      <c r="D10" s="75">
        <v>1</v>
      </c>
      <c r="E10" s="75" t="s">
        <v>53</v>
      </c>
      <c r="F10" s="75" t="s">
        <v>41</v>
      </c>
      <c r="G10" s="76">
        <v>984000000000</v>
      </c>
      <c r="H10" s="75" t="s">
        <v>102</v>
      </c>
    </row>
    <row r="11" spans="1:11" x14ac:dyDescent="0.55000000000000004">
      <c r="A11" s="75" t="s">
        <v>279</v>
      </c>
      <c r="B11" s="75" t="s">
        <v>76</v>
      </c>
      <c r="C11" s="75" t="s">
        <v>54</v>
      </c>
      <c r="D11" s="75">
        <v>1</v>
      </c>
      <c r="E11" s="75" t="s">
        <v>53</v>
      </c>
      <c r="F11" s="75" t="s">
        <v>41</v>
      </c>
      <c r="G11" s="76">
        <v>2548000000000</v>
      </c>
      <c r="H11" s="75" t="s">
        <v>102</v>
      </c>
    </row>
    <row r="12" spans="1:11" x14ac:dyDescent="0.55000000000000004">
      <c r="A12" s="75" t="s">
        <v>116</v>
      </c>
      <c r="B12" s="75" t="s">
        <v>77</v>
      </c>
      <c r="C12" s="75" t="s">
        <v>54</v>
      </c>
      <c r="D12" s="75">
        <v>1</v>
      </c>
      <c r="E12" s="75" t="s">
        <v>53</v>
      </c>
      <c r="F12" s="75" t="s">
        <v>41</v>
      </c>
      <c r="G12" s="76">
        <v>1120000000000</v>
      </c>
      <c r="H12" s="75" t="s">
        <v>102</v>
      </c>
    </row>
    <row r="13" spans="1:11" x14ac:dyDescent="0.55000000000000004">
      <c r="A13" s="75" t="s">
        <v>117</v>
      </c>
      <c r="B13" s="75" t="s">
        <v>78</v>
      </c>
      <c r="C13" s="75" t="s">
        <v>54</v>
      </c>
      <c r="D13" s="75">
        <v>1</v>
      </c>
      <c r="E13" s="75" t="s">
        <v>53</v>
      </c>
      <c r="F13" s="75" t="s">
        <v>41</v>
      </c>
      <c r="G13" s="76">
        <v>3669000000000</v>
      </c>
      <c r="H13" s="75" t="s">
        <v>102</v>
      </c>
    </row>
    <row r="14" spans="1:11" x14ac:dyDescent="0.55000000000000004">
      <c r="A14" s="75" t="s">
        <v>280</v>
      </c>
      <c r="B14" s="75" t="s">
        <v>79</v>
      </c>
      <c r="C14" s="75" t="s">
        <v>54</v>
      </c>
      <c r="D14" s="75">
        <v>1</v>
      </c>
      <c r="E14" s="75" t="s">
        <v>53</v>
      </c>
      <c r="F14" s="75" t="s">
        <v>41</v>
      </c>
      <c r="G14" s="76">
        <v>20237444305392.715</v>
      </c>
      <c r="H14" s="75" t="s">
        <v>18</v>
      </c>
    </row>
    <row r="15" spans="1:11" x14ac:dyDescent="0.55000000000000004">
      <c r="A15" s="75" t="s">
        <v>281</v>
      </c>
      <c r="B15" s="75" t="s">
        <v>80</v>
      </c>
      <c r="C15" s="75" t="s">
        <v>54</v>
      </c>
      <c r="D15" s="75">
        <v>1</v>
      </c>
      <c r="E15" s="75" t="s">
        <v>53</v>
      </c>
      <c r="F15" s="75" t="s">
        <v>41</v>
      </c>
      <c r="G15" s="76">
        <v>28108666791292.668</v>
      </c>
      <c r="H15" s="75" t="s">
        <v>18</v>
      </c>
    </row>
    <row r="16" spans="1:11" x14ac:dyDescent="0.55000000000000004">
      <c r="A16" s="75" t="s">
        <v>118</v>
      </c>
      <c r="B16" s="75" t="s">
        <v>81</v>
      </c>
      <c r="C16" s="75" t="s">
        <v>47</v>
      </c>
      <c r="D16" s="75">
        <v>1</v>
      </c>
      <c r="E16" s="75" t="s">
        <v>53</v>
      </c>
      <c r="F16" s="75" t="s">
        <v>40</v>
      </c>
      <c r="G16" s="76">
        <v>60153880670886.164</v>
      </c>
      <c r="H16" s="75" t="s">
        <v>18</v>
      </c>
    </row>
    <row r="17" spans="1:8" x14ac:dyDescent="0.55000000000000004">
      <c r="A17" s="75" t="s">
        <v>151</v>
      </c>
      <c r="B17" s="75" t="s">
        <v>150</v>
      </c>
      <c r="C17" s="75" t="s">
        <v>47</v>
      </c>
      <c r="D17" s="75">
        <v>1</v>
      </c>
      <c r="E17" s="75" t="s">
        <v>53</v>
      </c>
      <c r="F17" s="75" t="s">
        <v>40</v>
      </c>
      <c r="G17" s="76">
        <v>33059022119967.516</v>
      </c>
      <c r="H17" s="75" t="s">
        <v>18</v>
      </c>
    </row>
    <row r="18" spans="1:8" x14ac:dyDescent="0.55000000000000004">
      <c r="A18" s="75" t="s">
        <v>282</v>
      </c>
      <c r="B18" s="75" t="s">
        <v>68</v>
      </c>
      <c r="C18" s="75" t="s">
        <v>47</v>
      </c>
      <c r="D18" s="75">
        <v>1</v>
      </c>
      <c r="E18" s="75" t="s">
        <v>53</v>
      </c>
      <c r="F18" s="75" t="s">
        <v>40</v>
      </c>
      <c r="G18" s="76">
        <v>35511568623903.633</v>
      </c>
      <c r="H18" s="75" t="s">
        <v>18</v>
      </c>
    </row>
    <row r="19" spans="1:8" x14ac:dyDescent="0.55000000000000004">
      <c r="A19" s="75" t="s">
        <v>120</v>
      </c>
      <c r="B19" s="75" t="s">
        <v>82</v>
      </c>
      <c r="C19" s="75" t="s">
        <v>47</v>
      </c>
      <c r="D19" s="75">
        <v>1</v>
      </c>
      <c r="E19" s="75" t="s">
        <v>53</v>
      </c>
      <c r="F19" s="75" t="s">
        <v>40</v>
      </c>
      <c r="G19" s="76">
        <v>4480000000000</v>
      </c>
      <c r="H19" s="75" t="s">
        <v>102</v>
      </c>
    </row>
    <row r="20" spans="1:8" x14ac:dyDescent="0.55000000000000004">
      <c r="A20" s="75" t="s">
        <v>119</v>
      </c>
      <c r="B20" s="75" t="s">
        <v>83</v>
      </c>
      <c r="C20" s="75" t="s">
        <v>47</v>
      </c>
      <c r="D20" s="75">
        <v>1</v>
      </c>
      <c r="E20" s="75" t="s">
        <v>53</v>
      </c>
      <c r="F20" s="75" t="s">
        <v>40</v>
      </c>
      <c r="G20" s="76">
        <v>838095238095238.13</v>
      </c>
      <c r="H20" s="75" t="s">
        <v>102</v>
      </c>
    </row>
    <row r="21" spans="1:8" x14ac:dyDescent="0.55000000000000004">
      <c r="A21" s="75" t="s">
        <v>121</v>
      </c>
      <c r="B21" s="75" t="s">
        <v>84</v>
      </c>
      <c r="C21" s="75" t="s">
        <v>55</v>
      </c>
      <c r="D21" s="75">
        <v>1</v>
      </c>
      <c r="E21" s="75" t="s">
        <v>53</v>
      </c>
      <c r="F21" s="75" t="s">
        <v>42</v>
      </c>
      <c r="G21" s="76">
        <v>18325079790826.645</v>
      </c>
      <c r="H21" s="75" t="s">
        <v>18</v>
      </c>
    </row>
    <row r="22" spans="1:8" x14ac:dyDescent="0.55000000000000004">
      <c r="A22" s="75" t="s">
        <v>122</v>
      </c>
      <c r="B22" s="75" t="s">
        <v>85</v>
      </c>
      <c r="C22" s="75" t="s">
        <v>55</v>
      </c>
      <c r="D22" s="75">
        <v>1</v>
      </c>
      <c r="E22" s="75" t="s">
        <v>53</v>
      </c>
      <c r="F22" s="75" t="s">
        <v>42</v>
      </c>
      <c r="G22" s="76">
        <v>69650235049065.984</v>
      </c>
      <c r="H22" s="75" t="s">
        <v>18</v>
      </c>
    </row>
    <row r="23" spans="1:8" x14ac:dyDescent="0.55000000000000004">
      <c r="A23" s="75" t="s">
        <v>123</v>
      </c>
      <c r="B23" s="75" t="s">
        <v>86</v>
      </c>
      <c r="C23" s="75" t="s">
        <v>55</v>
      </c>
      <c r="D23" s="75">
        <v>1</v>
      </c>
      <c r="E23" s="75" t="s">
        <v>53</v>
      </c>
      <c r="F23" s="75" t="s">
        <v>42</v>
      </c>
      <c r="G23" s="76">
        <v>3442565475385.4912</v>
      </c>
      <c r="H23" s="75" t="s">
        <v>18</v>
      </c>
    </row>
    <row r="24" spans="1:8" x14ac:dyDescent="0.55000000000000004">
      <c r="A24" s="75" t="s">
        <v>124</v>
      </c>
      <c r="B24" s="75" t="s">
        <v>87</v>
      </c>
      <c r="C24" s="75" t="s">
        <v>55</v>
      </c>
      <c r="D24" s="75">
        <v>1</v>
      </c>
      <c r="E24" s="75" t="s">
        <v>53</v>
      </c>
      <c r="F24" s="75" t="s">
        <v>42</v>
      </c>
      <c r="G24" s="76">
        <v>90703359848000.953</v>
      </c>
      <c r="H24" s="75" t="s">
        <v>18</v>
      </c>
    </row>
    <row r="25" spans="1:8" x14ac:dyDescent="0.55000000000000004">
      <c r="A25" s="75" t="s">
        <v>125</v>
      </c>
      <c r="B25" s="75" t="s">
        <v>88</v>
      </c>
      <c r="C25" s="75" t="s">
        <v>55</v>
      </c>
      <c r="D25" s="75">
        <v>1</v>
      </c>
      <c r="E25" s="75" t="s">
        <v>53</v>
      </c>
      <c r="F25" s="75" t="s">
        <v>42</v>
      </c>
      <c r="G25" s="76">
        <v>961118746103.06384</v>
      </c>
      <c r="H25" s="75" t="s">
        <v>18</v>
      </c>
    </row>
    <row r="26" spans="1:8" x14ac:dyDescent="0.55000000000000004">
      <c r="A26" t="s">
        <v>89</v>
      </c>
      <c r="B26" t="s">
        <v>90</v>
      </c>
      <c r="C26" t="s">
        <v>52</v>
      </c>
      <c r="D26">
        <v>1</v>
      </c>
      <c r="E26" t="s">
        <v>53</v>
      </c>
      <c r="F26" t="s">
        <v>17</v>
      </c>
      <c r="G26" s="2">
        <v>50923738762.257118</v>
      </c>
      <c r="H26" t="s">
        <v>18</v>
      </c>
    </row>
    <row r="27" spans="1:8" x14ac:dyDescent="0.55000000000000004">
      <c r="A27" t="s">
        <v>91</v>
      </c>
      <c r="B27" t="s">
        <v>92</v>
      </c>
      <c r="C27" t="s">
        <v>52</v>
      </c>
      <c r="D27">
        <v>1</v>
      </c>
      <c r="E27" t="s">
        <v>53</v>
      </c>
      <c r="F27" t="s">
        <v>17</v>
      </c>
      <c r="G27" s="2">
        <v>43127129338.78212</v>
      </c>
      <c r="H27" t="s">
        <v>18</v>
      </c>
    </row>
    <row r="28" spans="1:8" x14ac:dyDescent="0.55000000000000004">
      <c r="A28" t="s">
        <v>93</v>
      </c>
      <c r="B28" t="s">
        <v>94</v>
      </c>
      <c r="C28" t="s">
        <v>52</v>
      </c>
      <c r="D28">
        <v>1</v>
      </c>
      <c r="E28" t="s">
        <v>53</v>
      </c>
      <c r="F28" t="s">
        <v>17</v>
      </c>
      <c r="G28" s="2">
        <v>76580599584.532318</v>
      </c>
      <c r="H28" t="s">
        <v>19</v>
      </c>
    </row>
    <row r="29" spans="1:8" x14ac:dyDescent="0.55000000000000004">
      <c r="A29" t="s">
        <v>95</v>
      </c>
      <c r="B29" t="s">
        <v>96</v>
      </c>
      <c r="C29" t="s">
        <v>52</v>
      </c>
      <c r="D29">
        <v>1</v>
      </c>
      <c r="E29" t="s">
        <v>53</v>
      </c>
      <c r="F29" t="s">
        <v>17</v>
      </c>
      <c r="G29" s="2">
        <v>34866095274.972389</v>
      </c>
      <c r="H29" t="s">
        <v>18</v>
      </c>
    </row>
    <row r="30" spans="1:8" x14ac:dyDescent="0.55000000000000004">
      <c r="A30" t="s">
        <v>97</v>
      </c>
      <c r="B30" t="s">
        <v>98</v>
      </c>
      <c r="C30" t="s">
        <v>52</v>
      </c>
      <c r="D30">
        <v>1</v>
      </c>
      <c r="E30" t="s">
        <v>53</v>
      </c>
      <c r="F30" t="s">
        <v>17</v>
      </c>
      <c r="G30" s="2">
        <v>1812983866.4399517</v>
      </c>
      <c r="H30" t="s">
        <v>18</v>
      </c>
    </row>
    <row r="31" spans="1:8" x14ac:dyDescent="0.55000000000000004">
      <c r="A31" s="75" t="s">
        <v>180</v>
      </c>
      <c r="B31" s="75" t="s">
        <v>99</v>
      </c>
      <c r="C31" s="75" t="s">
        <v>52</v>
      </c>
      <c r="D31" s="75">
        <v>1</v>
      </c>
      <c r="E31" s="75" t="s">
        <v>53</v>
      </c>
      <c r="F31" s="75" t="s">
        <v>17</v>
      </c>
      <c r="G31" s="76">
        <v>120731947391.18979</v>
      </c>
      <c r="H31" s="75" t="s">
        <v>18</v>
      </c>
    </row>
    <row r="32" spans="1:8" x14ac:dyDescent="0.55000000000000004">
      <c r="A32" t="s">
        <v>100</v>
      </c>
      <c r="B32" t="s">
        <v>101</v>
      </c>
      <c r="C32" t="s">
        <v>52</v>
      </c>
      <c r="D32">
        <v>1</v>
      </c>
      <c r="E32" t="s">
        <v>53</v>
      </c>
      <c r="F32" t="s">
        <v>17</v>
      </c>
      <c r="G32" s="2">
        <v>123413247758.63603</v>
      </c>
      <c r="H32" t="s">
        <v>18</v>
      </c>
    </row>
    <row r="33" spans="1:8" x14ac:dyDescent="0.55000000000000004">
      <c r="A33" t="s">
        <v>51</v>
      </c>
      <c r="B33" t="s">
        <v>262</v>
      </c>
      <c r="C33" t="s">
        <v>52</v>
      </c>
      <c r="D33">
        <v>1</v>
      </c>
      <c r="E33" t="s">
        <v>53</v>
      </c>
      <c r="F33" t="s">
        <v>17</v>
      </c>
      <c r="G33" s="2">
        <v>170828022821.16486</v>
      </c>
      <c r="H33" t="s">
        <v>18</v>
      </c>
    </row>
    <row r="34" spans="1:8" x14ac:dyDescent="0.55000000000000004">
      <c r="A34" s="75" t="s">
        <v>248</v>
      </c>
      <c r="B34" s="75" t="s">
        <v>263</v>
      </c>
      <c r="C34" s="75" t="s">
        <v>52</v>
      </c>
      <c r="D34" s="75">
        <v>1</v>
      </c>
      <c r="E34" s="75" t="s">
        <v>53</v>
      </c>
      <c r="F34" s="75" t="s">
        <v>17</v>
      </c>
      <c r="G34" s="76">
        <v>381870197485.49573</v>
      </c>
      <c r="H34" s="75" t="s">
        <v>18</v>
      </c>
    </row>
    <row r="35" spans="1:8" x14ac:dyDescent="0.55000000000000004">
      <c r="A35" t="s">
        <v>249</v>
      </c>
      <c r="B35" t="s">
        <v>264</v>
      </c>
      <c r="C35" t="s">
        <v>52</v>
      </c>
      <c r="D35">
        <v>1</v>
      </c>
      <c r="E35" t="s">
        <v>53</v>
      </c>
      <c r="F35" t="s">
        <v>17</v>
      </c>
      <c r="G35" s="2">
        <v>1152892575109.8743</v>
      </c>
      <c r="H35" t="s">
        <v>18</v>
      </c>
    </row>
    <row r="36" spans="1:8" x14ac:dyDescent="0.55000000000000004">
      <c r="A36" s="75" t="s">
        <v>172</v>
      </c>
      <c r="B36" s="75" t="s">
        <v>265</v>
      </c>
      <c r="C36" s="75" t="s">
        <v>52</v>
      </c>
      <c r="D36" s="75">
        <v>1</v>
      </c>
      <c r="E36" s="75" t="s">
        <v>53</v>
      </c>
      <c r="F36" s="75" t="s">
        <v>17</v>
      </c>
      <c r="G36" s="76">
        <v>73712177945653.359</v>
      </c>
      <c r="H36" s="75" t="s">
        <v>18</v>
      </c>
    </row>
    <row r="37" spans="1:8" x14ac:dyDescent="0.55000000000000004">
      <c r="A37" s="75" t="s">
        <v>250</v>
      </c>
      <c r="B37" s="75" t="s">
        <v>266</v>
      </c>
      <c r="C37" s="75" t="s">
        <v>52</v>
      </c>
      <c r="D37" s="75">
        <v>1</v>
      </c>
      <c r="E37" s="75" t="s">
        <v>53</v>
      </c>
      <c r="F37" s="75" t="s">
        <v>17</v>
      </c>
      <c r="G37" s="76">
        <v>3000000000000</v>
      </c>
      <c r="H37" s="75" t="s">
        <v>102</v>
      </c>
    </row>
    <row r="38" spans="1:8" x14ac:dyDescent="0.55000000000000004">
      <c r="A38" s="75" t="s">
        <v>286</v>
      </c>
      <c r="B38" s="75" t="s">
        <v>267</v>
      </c>
      <c r="C38" s="75" t="s">
        <v>52</v>
      </c>
      <c r="D38" s="75">
        <v>1</v>
      </c>
      <c r="E38" s="75" t="s">
        <v>53</v>
      </c>
      <c r="F38" s="75" t="s">
        <v>17</v>
      </c>
      <c r="G38" s="76">
        <v>246854868186.05969</v>
      </c>
      <c r="H38" s="75" t="s">
        <v>18</v>
      </c>
    </row>
    <row r="39" spans="1:8" x14ac:dyDescent="0.55000000000000004">
      <c r="A39" t="s">
        <v>251</v>
      </c>
      <c r="B39" t="s">
        <v>268</v>
      </c>
      <c r="C39" t="s">
        <v>2</v>
      </c>
      <c r="D39">
        <v>1</v>
      </c>
      <c r="E39" t="s">
        <v>53</v>
      </c>
      <c r="F39" t="s">
        <v>17</v>
      </c>
      <c r="G39" s="2">
        <v>3000000000000</v>
      </c>
      <c r="H39" t="s">
        <v>102</v>
      </c>
    </row>
    <row r="40" spans="1:8" x14ac:dyDescent="0.55000000000000004">
      <c r="A40" t="s">
        <v>252</v>
      </c>
      <c r="B40" t="s">
        <v>269</v>
      </c>
      <c r="C40" t="s">
        <v>52</v>
      </c>
      <c r="D40">
        <v>1</v>
      </c>
      <c r="E40" t="s">
        <v>53</v>
      </c>
      <c r="F40" t="s">
        <v>17</v>
      </c>
      <c r="G40" s="2">
        <v>1110684999872.4016</v>
      </c>
      <c r="H40" t="s">
        <v>18</v>
      </c>
    </row>
    <row r="41" spans="1:8" x14ac:dyDescent="0.55000000000000004">
      <c r="A41" s="75" t="s">
        <v>253</v>
      </c>
      <c r="B41" s="75" t="s">
        <v>270</v>
      </c>
      <c r="C41" s="75" t="s">
        <v>52</v>
      </c>
      <c r="D41" s="75">
        <v>1</v>
      </c>
      <c r="E41" s="75" t="s">
        <v>53</v>
      </c>
      <c r="F41" s="75" t="s">
        <v>17</v>
      </c>
      <c r="G41" s="76">
        <v>1317998267531.7129</v>
      </c>
      <c r="H41" s="75" t="s">
        <v>18</v>
      </c>
    </row>
    <row r="42" spans="1:8" x14ac:dyDescent="0.55000000000000004">
      <c r="A42" t="s">
        <v>249</v>
      </c>
      <c r="B42" t="s">
        <v>264</v>
      </c>
      <c r="C42" t="s">
        <v>52</v>
      </c>
      <c r="D42">
        <v>1</v>
      </c>
      <c r="E42" t="s">
        <v>53</v>
      </c>
      <c r="F42" t="s">
        <v>17</v>
      </c>
      <c r="G42" s="2">
        <v>1152892575109.8743</v>
      </c>
      <c r="H42" t="s">
        <v>18</v>
      </c>
    </row>
    <row r="43" spans="1:8" x14ac:dyDescent="0.55000000000000004">
      <c r="A43" t="s">
        <v>254</v>
      </c>
      <c r="B43" t="s">
        <v>271</v>
      </c>
      <c r="C43" t="s">
        <v>52</v>
      </c>
      <c r="D43">
        <v>1</v>
      </c>
      <c r="E43" t="s">
        <v>53</v>
      </c>
      <c r="F43" t="s">
        <v>17</v>
      </c>
      <c r="G43" s="2">
        <v>1312142969073.4495</v>
      </c>
      <c r="H43" t="s">
        <v>18</v>
      </c>
    </row>
    <row r="44" spans="1:8" x14ac:dyDescent="0.55000000000000004">
      <c r="A44" t="s">
        <v>255</v>
      </c>
      <c r="B44" t="s">
        <v>272</v>
      </c>
      <c r="C44" t="s">
        <v>52</v>
      </c>
      <c r="D44">
        <v>1</v>
      </c>
      <c r="E44" t="s">
        <v>53</v>
      </c>
      <c r="F44" t="s">
        <v>17</v>
      </c>
      <c r="G44" s="2">
        <v>1378210782507.2976</v>
      </c>
      <c r="H44" t="s">
        <v>18</v>
      </c>
    </row>
    <row r="45" spans="1:8" x14ac:dyDescent="0.55000000000000004">
      <c r="A45" t="s">
        <v>256</v>
      </c>
      <c r="B45" t="s">
        <v>273</v>
      </c>
      <c r="C45" t="s">
        <v>52</v>
      </c>
      <c r="D45">
        <v>1</v>
      </c>
      <c r="E45" t="s">
        <v>53</v>
      </c>
      <c r="F45" t="s">
        <v>17</v>
      </c>
      <c r="G45" s="2">
        <v>2773779820287.2793</v>
      </c>
      <c r="H45" t="s">
        <v>18</v>
      </c>
    </row>
    <row r="46" spans="1:8" x14ac:dyDescent="0.55000000000000004">
      <c r="A46" t="s">
        <v>257</v>
      </c>
      <c r="B46" t="s">
        <v>274</v>
      </c>
      <c r="C46" t="s">
        <v>52</v>
      </c>
      <c r="D46">
        <v>1</v>
      </c>
      <c r="E46" t="s">
        <v>53</v>
      </c>
      <c r="F46" t="s">
        <v>17</v>
      </c>
      <c r="G46" s="2">
        <v>4071226450565.8496</v>
      </c>
      <c r="H46" t="s">
        <v>18</v>
      </c>
    </row>
    <row r="47" spans="1:8" x14ac:dyDescent="0.55000000000000004">
      <c r="A47" t="s">
        <v>258</v>
      </c>
      <c r="B47" t="s">
        <v>275</v>
      </c>
      <c r="C47" t="s">
        <v>52</v>
      </c>
      <c r="D47">
        <v>1</v>
      </c>
      <c r="E47" t="s">
        <v>53</v>
      </c>
      <c r="F47" t="s">
        <v>17</v>
      </c>
      <c r="G47" s="2">
        <v>1970889103006.9629</v>
      </c>
      <c r="H47" t="s">
        <v>18</v>
      </c>
    </row>
    <row r="48" spans="1:8" x14ac:dyDescent="0.55000000000000004">
      <c r="A48" t="s">
        <v>259</v>
      </c>
      <c r="B48" t="s">
        <v>276</v>
      </c>
      <c r="C48" t="s">
        <v>52</v>
      </c>
      <c r="D48">
        <v>1</v>
      </c>
      <c r="E48" t="s">
        <v>53</v>
      </c>
      <c r="F48" t="s">
        <v>17</v>
      </c>
      <c r="G48" s="2">
        <v>1923343693825.5034</v>
      </c>
      <c r="H48" t="s">
        <v>18</v>
      </c>
    </row>
    <row r="49" spans="1:8" x14ac:dyDescent="0.55000000000000004">
      <c r="A49" t="s">
        <v>260</v>
      </c>
      <c r="B49" t="s">
        <v>277</v>
      </c>
      <c r="C49" t="s">
        <v>52</v>
      </c>
      <c r="D49">
        <v>1</v>
      </c>
      <c r="E49" t="s">
        <v>53</v>
      </c>
      <c r="F49" t="s">
        <v>17</v>
      </c>
      <c r="G49" s="2">
        <v>2397688467855.9429</v>
      </c>
      <c r="H49" t="s">
        <v>18</v>
      </c>
    </row>
    <row r="50" spans="1:8" x14ac:dyDescent="0.55000000000000004">
      <c r="A50" t="s">
        <v>261</v>
      </c>
      <c r="B50" t="s">
        <v>278</v>
      </c>
      <c r="C50" t="s">
        <v>52</v>
      </c>
      <c r="D50">
        <v>1</v>
      </c>
      <c r="E50" t="s">
        <v>53</v>
      </c>
      <c r="F50" t="s">
        <v>17</v>
      </c>
      <c r="G50" s="2">
        <v>2251516786304.3232</v>
      </c>
      <c r="H50" t="s">
        <v>18</v>
      </c>
    </row>
    <row r="51" spans="1:8" x14ac:dyDescent="0.55000000000000004">
      <c r="A51" s="75" t="s">
        <v>227</v>
      </c>
      <c r="B51" s="75" t="s">
        <v>228</v>
      </c>
      <c r="C51" s="75" t="s">
        <v>52</v>
      </c>
      <c r="D51" s="75">
        <v>1</v>
      </c>
      <c r="E51" s="75" t="s">
        <v>53</v>
      </c>
      <c r="F51" s="75" t="s">
        <v>17</v>
      </c>
      <c r="G51" s="76">
        <v>433522509715.61029</v>
      </c>
      <c r="H51" s="75" t="s">
        <v>18</v>
      </c>
    </row>
    <row r="52" spans="1:8" x14ac:dyDescent="0.55000000000000004">
      <c r="A52" t="s">
        <v>229</v>
      </c>
      <c r="B52" t="s">
        <v>230</v>
      </c>
      <c r="C52" t="s">
        <v>52</v>
      </c>
      <c r="D52">
        <v>1</v>
      </c>
      <c r="E52" t="s">
        <v>53</v>
      </c>
      <c r="F52" t="s">
        <v>17</v>
      </c>
      <c r="G52" s="2">
        <v>189793847516.73123</v>
      </c>
      <c r="H52" t="s">
        <v>18</v>
      </c>
    </row>
    <row r="53" spans="1:8" x14ac:dyDescent="0.55000000000000004">
      <c r="A53" t="s">
        <v>231</v>
      </c>
      <c r="B53" t="s">
        <v>232</v>
      </c>
      <c r="C53" t="s">
        <v>52</v>
      </c>
      <c r="D53">
        <v>1</v>
      </c>
      <c r="E53" t="s">
        <v>53</v>
      </c>
      <c r="F53" t="s">
        <v>17</v>
      </c>
      <c r="G53" s="2">
        <v>526653425855.27863</v>
      </c>
      <c r="H53" t="s">
        <v>18</v>
      </c>
    </row>
    <row r="54" spans="1:8" x14ac:dyDescent="0.55000000000000004">
      <c r="A54" s="75" t="s">
        <v>179</v>
      </c>
      <c r="B54" s="75" t="s">
        <v>233</v>
      </c>
      <c r="C54" s="75" t="s">
        <v>52</v>
      </c>
      <c r="D54" s="75">
        <v>1</v>
      </c>
      <c r="E54" s="75" t="s">
        <v>53</v>
      </c>
      <c r="F54" s="75" t="s">
        <v>17</v>
      </c>
      <c r="G54" s="76">
        <v>178135598879.10516</v>
      </c>
      <c r="H54" s="75" t="s">
        <v>18</v>
      </c>
    </row>
    <row r="55" spans="1:8" x14ac:dyDescent="0.55000000000000004">
      <c r="A55" t="s">
        <v>234</v>
      </c>
      <c r="B55" t="s">
        <v>235</v>
      </c>
      <c r="C55" t="s">
        <v>52</v>
      </c>
      <c r="D55">
        <v>1</v>
      </c>
      <c r="E55" t="s">
        <v>53</v>
      </c>
      <c r="F55" t="s">
        <v>17</v>
      </c>
      <c r="G55" s="2">
        <v>171032181616.68301</v>
      </c>
      <c r="H55" t="s">
        <v>18</v>
      </c>
    </row>
    <row r="56" spans="1:8" x14ac:dyDescent="0.55000000000000004">
      <c r="A56" t="s">
        <v>236</v>
      </c>
      <c r="B56" t="s">
        <v>237</v>
      </c>
      <c r="C56" t="s">
        <v>52</v>
      </c>
      <c r="D56">
        <v>1</v>
      </c>
      <c r="E56" t="s">
        <v>53</v>
      </c>
      <c r="F56" t="s">
        <v>17</v>
      </c>
      <c r="G56" s="2">
        <v>165836532890.92188</v>
      </c>
      <c r="H56" t="s">
        <v>18</v>
      </c>
    </row>
    <row r="57" spans="1:8" x14ac:dyDescent="0.55000000000000004">
      <c r="A57" t="s">
        <v>238</v>
      </c>
      <c r="B57" t="s">
        <v>239</v>
      </c>
      <c r="C57" t="s">
        <v>52</v>
      </c>
      <c r="D57">
        <v>1</v>
      </c>
      <c r="E57" t="s">
        <v>53</v>
      </c>
      <c r="F57" t="s">
        <v>17</v>
      </c>
      <c r="G57" s="2">
        <v>173099759260.58975</v>
      </c>
      <c r="H57" t="s">
        <v>18</v>
      </c>
    </row>
    <row r="58" spans="1:8" x14ac:dyDescent="0.55000000000000004">
      <c r="A58" t="s">
        <v>240</v>
      </c>
      <c r="B58" t="s">
        <v>241</v>
      </c>
      <c r="C58" t="s">
        <v>52</v>
      </c>
      <c r="D58">
        <v>1</v>
      </c>
      <c r="E58" t="s">
        <v>53</v>
      </c>
      <c r="F58" t="s">
        <v>17</v>
      </c>
      <c r="G58" s="2">
        <v>187822918016.15817</v>
      </c>
      <c r="H58" t="s">
        <v>18</v>
      </c>
    </row>
    <row r="59" spans="1:8" x14ac:dyDescent="0.55000000000000004">
      <c r="A59" t="s">
        <v>242</v>
      </c>
      <c r="B59" t="s">
        <v>243</v>
      </c>
      <c r="C59" t="s">
        <v>52</v>
      </c>
      <c r="D59">
        <v>1</v>
      </c>
      <c r="E59" t="s">
        <v>53</v>
      </c>
      <c r="F59" t="s">
        <v>17</v>
      </c>
      <c r="G59" s="2">
        <v>190889288995.39166</v>
      </c>
      <c r="H59" t="s">
        <v>18</v>
      </c>
    </row>
    <row r="60" spans="1:8" x14ac:dyDescent="0.55000000000000004">
      <c r="A60" t="s">
        <v>244</v>
      </c>
      <c r="B60" t="s">
        <v>245</v>
      </c>
      <c r="C60" t="s">
        <v>52</v>
      </c>
      <c r="D60">
        <v>1</v>
      </c>
      <c r="E60" t="s">
        <v>53</v>
      </c>
      <c r="F60" t="s">
        <v>17</v>
      </c>
      <c r="G60" s="2">
        <v>140748642307.29626</v>
      </c>
      <c r="H60" t="s">
        <v>18</v>
      </c>
    </row>
    <row r="61" spans="1:8" x14ac:dyDescent="0.55000000000000004">
      <c r="A61" t="s">
        <v>246</v>
      </c>
      <c r="B61" t="s">
        <v>247</v>
      </c>
      <c r="C61" t="s">
        <v>52</v>
      </c>
      <c r="D61">
        <v>1</v>
      </c>
      <c r="E61" t="s">
        <v>53</v>
      </c>
      <c r="F61" t="s">
        <v>17</v>
      </c>
      <c r="G61" s="2">
        <v>180585157873.73053</v>
      </c>
      <c r="H61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W164"/>
  <sheetViews>
    <sheetView tabSelected="1" zoomScale="115" zoomScaleNormal="115" workbookViewId="0">
      <pane xSplit="5" ySplit="19" topLeftCell="F20" activePane="bottomRight" state="frozen"/>
      <selection pane="topRight" activeCell="C1" sqref="C1"/>
      <selection pane="bottomLeft" activeCell="A3" sqref="A3"/>
      <selection pane="bottomRight" activeCell="O31" sqref="O31"/>
    </sheetView>
  </sheetViews>
  <sheetFormatPr defaultColWidth="11.578125" defaultRowHeight="14.4" x14ac:dyDescent="0.55000000000000004"/>
  <cols>
    <col min="1" max="1" width="5.83984375" style="1" customWidth="1"/>
    <col min="2" max="2" width="8.15625" style="1" customWidth="1"/>
    <col min="3" max="3" width="30.15625" style="1" bestFit="1" customWidth="1"/>
    <col min="4" max="4" width="44.578125" style="1" bestFit="1" customWidth="1"/>
    <col min="5" max="5" width="6.578125" style="46" customWidth="1"/>
    <col min="6" max="6" width="16.578125" style="1" customWidth="1"/>
    <col min="7" max="7" width="11" style="1" bestFit="1" customWidth="1"/>
    <col min="8" max="8" width="2.578125" style="1" customWidth="1"/>
    <col min="9" max="9" width="16.578125" style="1" customWidth="1"/>
    <col min="10" max="10" width="11" style="1" bestFit="1" customWidth="1"/>
    <col min="11" max="11" width="2.578125" style="1" customWidth="1"/>
    <col min="12" max="12" width="16.578125" style="1" customWidth="1"/>
    <col min="13" max="13" width="8.578125" style="1" customWidth="1"/>
    <col min="14" max="14" width="2.578125" style="1" customWidth="1"/>
    <col min="15" max="15" width="16.578125" style="1" customWidth="1"/>
    <col min="16" max="16" width="8.578125" style="1" customWidth="1"/>
    <col min="17" max="17" width="2.578125" style="1" customWidth="1"/>
    <col min="18" max="18" width="16.578125" style="1" customWidth="1"/>
    <col min="19" max="19" width="8.578125" style="1" customWidth="1"/>
    <col min="20" max="20" width="2.578125" style="1" customWidth="1"/>
    <col min="21" max="21" width="16.578125" style="1" customWidth="1"/>
    <col min="22" max="22" width="8.578125" style="1" customWidth="1"/>
    <col min="23" max="23" width="2.578125" style="1" customWidth="1"/>
    <col min="24" max="16384" width="11.578125" style="1"/>
  </cols>
  <sheetData>
    <row r="1" spans="1:23" s="8" customFormat="1" x14ac:dyDescent="0.55000000000000004">
      <c r="A1" s="8" t="s">
        <v>27</v>
      </c>
      <c r="E1" s="12"/>
    </row>
    <row r="2" spans="1:23" x14ac:dyDescent="0.55000000000000004">
      <c r="C2" s="3"/>
    </row>
    <row r="3" spans="1:23" ht="14.5" customHeight="1" x14ac:dyDescent="0.55000000000000004">
      <c r="A3" s="51" t="s">
        <v>176</v>
      </c>
      <c r="C3" s="3"/>
      <c r="D3" s="3" t="s">
        <v>37</v>
      </c>
      <c r="F3" s="52" t="s">
        <v>187</v>
      </c>
      <c r="I3" s="52" t="s">
        <v>210</v>
      </c>
      <c r="L3" s="52" t="s">
        <v>218</v>
      </c>
      <c r="O3" s="52" t="s">
        <v>291</v>
      </c>
      <c r="R3" s="52" t="s">
        <v>292</v>
      </c>
      <c r="U3" s="52" t="s">
        <v>293</v>
      </c>
    </row>
    <row r="4" spans="1:23" ht="14.5" customHeight="1" x14ac:dyDescent="0.55000000000000004">
      <c r="D4" s="1" t="s">
        <v>29</v>
      </c>
      <c r="F4" s="51" t="s">
        <v>283</v>
      </c>
      <c r="I4" s="51" t="s">
        <v>284</v>
      </c>
      <c r="L4" s="51" t="s">
        <v>285</v>
      </c>
      <c r="O4" s="51" t="s">
        <v>300</v>
      </c>
      <c r="R4" s="51"/>
      <c r="U4" s="51"/>
    </row>
    <row r="5" spans="1:23" s="27" customFormat="1" x14ac:dyDescent="0.55000000000000004">
      <c r="A5"/>
      <c r="B5" s="1"/>
      <c r="C5" s="1"/>
      <c r="D5" s="27" t="s">
        <v>7</v>
      </c>
      <c r="E5" s="28"/>
      <c r="F5" s="35" t="s">
        <v>140</v>
      </c>
      <c r="G5" s="30"/>
      <c r="H5" s="30"/>
      <c r="I5" s="35" t="s">
        <v>140</v>
      </c>
      <c r="J5" s="30"/>
      <c r="K5" s="30"/>
      <c r="L5" s="35" t="s">
        <v>141</v>
      </c>
      <c r="M5" s="30"/>
      <c r="N5" s="30"/>
      <c r="O5" s="35"/>
      <c r="P5" s="30"/>
      <c r="Q5" s="30"/>
      <c r="R5" s="35"/>
      <c r="S5" s="30"/>
      <c r="T5" s="30"/>
      <c r="U5" s="35"/>
      <c r="V5" s="30"/>
      <c r="W5" s="30"/>
    </row>
    <row r="6" spans="1:23" x14ac:dyDescent="0.55000000000000004">
      <c r="A6"/>
      <c r="D6" s="1" t="s">
        <v>211</v>
      </c>
      <c r="F6" s="36" t="s">
        <v>142</v>
      </c>
      <c r="G6" s="31"/>
      <c r="H6" s="31"/>
      <c r="I6" s="36" t="s">
        <v>142</v>
      </c>
      <c r="J6" s="31"/>
      <c r="K6" s="31"/>
      <c r="L6" s="36" t="s">
        <v>143</v>
      </c>
      <c r="M6" s="31"/>
      <c r="N6" s="31"/>
      <c r="O6" s="36"/>
      <c r="P6" s="31"/>
      <c r="Q6" s="31"/>
      <c r="R6" s="36"/>
      <c r="S6" s="31"/>
      <c r="T6" s="31"/>
      <c r="U6" s="36"/>
      <c r="V6" s="31"/>
      <c r="W6" s="31"/>
    </row>
    <row r="7" spans="1:23" x14ac:dyDescent="0.55000000000000004">
      <c r="D7" s="1" t="s">
        <v>212</v>
      </c>
      <c r="F7" s="36" t="s">
        <v>144</v>
      </c>
      <c r="G7" s="31"/>
      <c r="H7" s="31"/>
      <c r="I7" s="36" t="s">
        <v>144</v>
      </c>
      <c r="J7" s="31"/>
      <c r="K7" s="31"/>
      <c r="L7" s="36" t="s">
        <v>145</v>
      </c>
      <c r="M7" s="31"/>
      <c r="N7" s="31"/>
      <c r="O7" s="36"/>
      <c r="P7" s="31"/>
      <c r="Q7" s="31"/>
      <c r="R7" s="36"/>
      <c r="S7" s="31"/>
      <c r="T7" s="31"/>
      <c r="U7" s="36"/>
      <c r="V7" s="31"/>
      <c r="W7" s="31"/>
    </row>
    <row r="8" spans="1:23" s="20" customFormat="1" ht="15" customHeight="1" x14ac:dyDescent="0.55000000000000004">
      <c r="A8" s="1"/>
      <c r="B8" s="1"/>
      <c r="C8" s="1"/>
      <c r="D8" s="20" t="s">
        <v>213</v>
      </c>
      <c r="E8" s="21"/>
      <c r="F8" s="37" t="s">
        <v>146</v>
      </c>
      <c r="G8" s="32"/>
      <c r="H8" s="32"/>
      <c r="I8" s="37" t="s">
        <v>146</v>
      </c>
      <c r="J8" s="32"/>
      <c r="K8" s="32"/>
      <c r="L8" s="37" t="s">
        <v>147</v>
      </c>
      <c r="M8" s="32"/>
      <c r="N8" s="32"/>
      <c r="O8" s="37"/>
      <c r="P8" s="32"/>
      <c r="Q8" s="32"/>
      <c r="R8" s="37"/>
      <c r="S8" s="32"/>
      <c r="T8" s="32"/>
      <c r="U8" s="37"/>
      <c r="V8" s="32"/>
      <c r="W8" s="32"/>
    </row>
    <row r="9" spans="1:23" s="18" customFormat="1" ht="14.5" customHeight="1" x14ac:dyDescent="0.65">
      <c r="A9" s="1"/>
      <c r="B9" s="1"/>
      <c r="C9" s="1"/>
      <c r="E9" s="19"/>
      <c r="G9" s="33" t="s">
        <v>31</v>
      </c>
      <c r="H9" s="33"/>
      <c r="J9" s="33" t="s">
        <v>31</v>
      </c>
      <c r="K9" s="33"/>
      <c r="M9" s="33" t="s">
        <v>31</v>
      </c>
      <c r="N9" s="33"/>
      <c r="P9" s="33" t="s">
        <v>31</v>
      </c>
      <c r="Q9" s="33"/>
      <c r="S9" s="33" t="s">
        <v>31</v>
      </c>
      <c r="T9" s="33"/>
      <c r="V9" s="33" t="s">
        <v>31</v>
      </c>
      <c r="W9" s="33"/>
    </row>
    <row r="10" spans="1:23" x14ac:dyDescent="0.55000000000000004">
      <c r="D10" s="1" t="s">
        <v>170</v>
      </c>
      <c r="F10" s="36" t="s">
        <v>250</v>
      </c>
      <c r="G10" s="5">
        <f>F45</f>
        <v>9.8466666666666664E-13</v>
      </c>
      <c r="H10" s="5"/>
      <c r="I10" s="36" t="s">
        <v>250</v>
      </c>
      <c r="J10" s="5">
        <f>I45</f>
        <v>1.19E-12</v>
      </c>
      <c r="K10" s="5"/>
      <c r="L10" s="36" t="s">
        <v>250</v>
      </c>
      <c r="M10" s="5">
        <f>L45</f>
        <v>9.8466666666666664E-13</v>
      </c>
      <c r="N10" s="5"/>
      <c r="O10" s="36" t="s">
        <v>250</v>
      </c>
      <c r="P10" s="5">
        <f>O45</f>
        <v>1.0266666666666667E-12</v>
      </c>
      <c r="Q10" s="5"/>
      <c r="R10" s="36"/>
      <c r="S10" s="5" t="e">
        <f>R45</f>
        <v>#N/A</v>
      </c>
      <c r="T10" s="5"/>
      <c r="U10" s="36"/>
      <c r="V10" s="5" t="e">
        <f>U45</f>
        <v>#N/A</v>
      </c>
      <c r="W10" s="5"/>
    </row>
    <row r="11" spans="1:23" x14ac:dyDescent="0.55000000000000004">
      <c r="D11" s="1" t="s">
        <v>189</v>
      </c>
      <c r="F11" s="36" t="s">
        <v>227</v>
      </c>
      <c r="G11" s="5">
        <f>F73</f>
        <v>2.0298830632284325E-13</v>
      </c>
      <c r="H11" s="5"/>
      <c r="I11" s="36" t="s">
        <v>227</v>
      </c>
      <c r="J11" s="5">
        <f>I73</f>
        <v>2.0298830632284325E-13</v>
      </c>
      <c r="K11" s="5"/>
      <c r="L11" s="36" t="s">
        <v>227</v>
      </c>
      <c r="M11" s="5">
        <f>L73</f>
        <v>2.0298830632284325E-13</v>
      </c>
      <c r="N11" s="5"/>
      <c r="O11" s="36" t="s">
        <v>227</v>
      </c>
      <c r="P11" s="5">
        <f>O73</f>
        <v>2.0298830632284307E-12</v>
      </c>
      <c r="Q11" s="5"/>
      <c r="R11" s="36"/>
      <c r="S11" s="5" t="e">
        <f>R73</f>
        <v>#N/A</v>
      </c>
      <c r="T11" s="5"/>
      <c r="U11" s="36"/>
      <c r="V11" s="5" t="e">
        <f>U73</f>
        <v>#N/A</v>
      </c>
      <c r="W11" s="5"/>
    </row>
    <row r="12" spans="1:23" customFormat="1" x14ac:dyDescent="0.55000000000000004">
      <c r="A12" s="1"/>
      <c r="B12" s="1"/>
      <c r="C12" s="1"/>
      <c r="D12" s="1" t="s">
        <v>190</v>
      </c>
      <c r="E12" s="46"/>
      <c r="F12" s="36" t="s">
        <v>286</v>
      </c>
      <c r="G12" s="5">
        <f>F101</f>
        <v>2.1389085979136346E-12</v>
      </c>
      <c r="H12" s="5"/>
      <c r="I12" s="36" t="s">
        <v>286</v>
      </c>
      <c r="J12" s="5">
        <f>I101</f>
        <v>2.1389085979136346E-12</v>
      </c>
      <c r="K12" s="5"/>
      <c r="L12" s="36" t="s">
        <v>286</v>
      </c>
      <c r="M12" s="5">
        <f>L101</f>
        <v>2.1389085979136346E-12</v>
      </c>
      <c r="N12" s="5"/>
      <c r="O12" s="36" t="s">
        <v>286</v>
      </c>
      <c r="P12" s="5">
        <f>O101</f>
        <v>2.1389085979136346E-12</v>
      </c>
      <c r="Q12" s="5"/>
      <c r="R12" s="36"/>
      <c r="S12" s="5" t="e">
        <f>R101</f>
        <v>#N/A</v>
      </c>
      <c r="T12" s="5"/>
      <c r="U12" s="36"/>
      <c r="V12" s="5" t="e">
        <f>U101</f>
        <v>#N/A</v>
      </c>
      <c r="W12" s="5"/>
    </row>
    <row r="13" spans="1:23" customFormat="1" x14ac:dyDescent="0.55000000000000004">
      <c r="A13" s="1"/>
      <c r="B13" s="1"/>
      <c r="C13" s="1"/>
      <c r="D13" s="1" t="s">
        <v>41</v>
      </c>
      <c r="E13" s="46"/>
      <c r="F13" s="36" t="s">
        <v>126</v>
      </c>
      <c r="G13" s="5">
        <f>F122</f>
        <v>3.4746134830186673E-12</v>
      </c>
      <c r="H13" s="5"/>
      <c r="I13" s="36" t="s">
        <v>126</v>
      </c>
      <c r="J13" s="5">
        <f>I122</f>
        <v>3.5034228337810372E-12</v>
      </c>
      <c r="K13" s="5"/>
      <c r="L13" s="36" t="s">
        <v>127</v>
      </c>
      <c r="M13" s="5">
        <f>L122</f>
        <v>3.0957621935564555E-12</v>
      </c>
      <c r="N13" s="5"/>
      <c r="O13" s="36" t="s">
        <v>126</v>
      </c>
      <c r="P13" s="5">
        <f>O122</f>
        <v>1.7848694798905748E-11</v>
      </c>
      <c r="Q13" s="5"/>
      <c r="R13" s="36"/>
      <c r="S13" s="5" t="e">
        <f>R122</f>
        <v>#N/A</v>
      </c>
      <c r="T13" s="5"/>
      <c r="U13" s="36"/>
      <c r="V13" s="5" t="e">
        <f>U122</f>
        <v>#N/A</v>
      </c>
      <c r="W13" s="5"/>
    </row>
    <row r="14" spans="1:23" customFormat="1" x14ac:dyDescent="0.55000000000000004">
      <c r="A14" s="1"/>
      <c r="B14" s="1"/>
      <c r="C14" s="1"/>
      <c r="D14" s="1" t="s">
        <v>40</v>
      </c>
      <c r="E14" s="46"/>
      <c r="F14" s="36" t="s">
        <v>126</v>
      </c>
      <c r="G14" s="5">
        <f>F137</f>
        <v>1.2374461437605777E-14</v>
      </c>
      <c r="H14" s="5"/>
      <c r="I14" s="36" t="s">
        <v>126</v>
      </c>
      <c r="J14" s="5">
        <f>I137</f>
        <v>1.2374461437605777E-14</v>
      </c>
      <c r="K14" s="5"/>
      <c r="L14" s="36" t="s">
        <v>127</v>
      </c>
      <c r="M14" s="5">
        <f>L137</f>
        <v>3.1499999999999999E-16</v>
      </c>
      <c r="N14" s="5"/>
      <c r="O14" s="36" t="s">
        <v>126</v>
      </c>
      <c r="P14" s="5">
        <f>O137</f>
        <v>1.5971434305707735E-14</v>
      </c>
      <c r="Q14" s="5"/>
      <c r="R14" s="36"/>
      <c r="S14" s="5" t="e">
        <f>R137</f>
        <v>#N/A</v>
      </c>
      <c r="T14" s="5"/>
      <c r="U14" s="36"/>
      <c r="V14" s="5" t="e">
        <f>U137</f>
        <v>#N/A</v>
      </c>
      <c r="W14" s="5"/>
    </row>
    <row r="15" spans="1:23" customFormat="1" ht="15" customHeight="1" x14ac:dyDescent="0.55000000000000004">
      <c r="A15" s="1"/>
      <c r="B15" s="1"/>
      <c r="C15" s="1"/>
      <c r="D15" s="1" t="s">
        <v>160</v>
      </c>
      <c r="E15" s="46"/>
      <c r="F15" s="36" t="s">
        <v>162</v>
      </c>
      <c r="G15" s="5">
        <f>F151</f>
        <v>4.5695932667340553E-14</v>
      </c>
      <c r="H15" s="5"/>
      <c r="I15" s="36" t="s">
        <v>162</v>
      </c>
      <c r="J15" s="5">
        <f>I151</f>
        <v>4.5695932667340553E-14</v>
      </c>
      <c r="K15" s="5"/>
      <c r="L15" s="36" t="s">
        <v>163</v>
      </c>
      <c r="M15" s="5">
        <f>L151</f>
        <v>2.928920481837421E-14</v>
      </c>
      <c r="N15" s="5"/>
      <c r="O15" s="36" t="s">
        <v>162</v>
      </c>
      <c r="P15" s="5">
        <f>O151</f>
        <v>2.1225264914157073E-12</v>
      </c>
      <c r="Q15" s="5"/>
      <c r="R15" s="36"/>
      <c r="S15" s="5" t="e">
        <f>R151</f>
        <v>#N/A</v>
      </c>
      <c r="T15" s="5"/>
      <c r="U15" s="36"/>
      <c r="V15" s="5" t="e">
        <f>U151</f>
        <v>#N/A</v>
      </c>
      <c r="W15" s="5"/>
    </row>
    <row r="16" spans="1:23" customFormat="1" ht="15" customHeight="1" thickBot="1" x14ac:dyDescent="0.6">
      <c r="A16" s="1"/>
      <c r="B16" s="1"/>
      <c r="C16" s="1"/>
      <c r="D16" s="1" t="s">
        <v>161</v>
      </c>
      <c r="E16" s="46"/>
      <c r="F16" s="36" t="s">
        <v>164</v>
      </c>
      <c r="G16" s="5">
        <f>F164</f>
        <v>0</v>
      </c>
      <c r="H16" s="5"/>
      <c r="I16" s="36" t="s">
        <v>164</v>
      </c>
      <c r="J16" s="5">
        <f>I164</f>
        <v>0</v>
      </c>
      <c r="K16" s="5"/>
      <c r="L16" s="36" t="s">
        <v>165</v>
      </c>
      <c r="M16" s="5">
        <f>L164</f>
        <v>0</v>
      </c>
      <c r="N16" s="5"/>
      <c r="O16" s="36" t="s">
        <v>164</v>
      </c>
      <c r="P16" s="5">
        <f>O164</f>
        <v>0</v>
      </c>
      <c r="Q16" s="5"/>
      <c r="R16" s="36"/>
      <c r="S16" s="5" t="e">
        <f>R164</f>
        <v>#N/A</v>
      </c>
      <c r="T16" s="5"/>
      <c r="U16" s="36"/>
      <c r="V16" s="5" t="e">
        <f>U164</f>
        <v>#N/A</v>
      </c>
      <c r="W16" s="5"/>
    </row>
    <row r="17" spans="1:23" customFormat="1" ht="14.7" thickBot="1" x14ac:dyDescent="0.6">
      <c r="A17" s="1"/>
      <c r="B17" s="1"/>
      <c r="C17" s="1"/>
      <c r="D17" s="17" t="s">
        <v>43</v>
      </c>
      <c r="E17" s="46"/>
      <c r="F17" s="1"/>
      <c r="G17" s="16">
        <f>SUM(G10:G16)</f>
        <v>6.8592474480267578E-12</v>
      </c>
      <c r="H17" s="6"/>
      <c r="I17" s="1"/>
      <c r="J17" s="16">
        <f>SUM(J10:J16)</f>
        <v>7.0933901321224617E-12</v>
      </c>
      <c r="K17" s="6"/>
      <c r="L17" s="1"/>
      <c r="M17" s="16">
        <f>SUM(M10:M16)</f>
        <v>6.4519299692779744E-12</v>
      </c>
      <c r="N17" s="6"/>
      <c r="O17" s="1"/>
      <c r="P17" s="16">
        <f>SUM(P10:P16)</f>
        <v>2.5182651052435893E-11</v>
      </c>
      <c r="Q17" s="6"/>
      <c r="R17" s="1"/>
      <c r="S17" s="16" t="e">
        <f>SUM(S10:S16)</f>
        <v>#N/A</v>
      </c>
      <c r="T17" s="6"/>
      <c r="U17" s="1"/>
      <c r="V17" s="16" t="e">
        <f>SUM(V10:V16)</f>
        <v>#N/A</v>
      </c>
      <c r="W17" s="6"/>
    </row>
    <row r="18" spans="1:23" customFormat="1" x14ac:dyDescent="0.55000000000000004">
      <c r="A18" s="34"/>
      <c r="B18" s="1" t="s">
        <v>30</v>
      </c>
      <c r="C18" s="3"/>
      <c r="D18" s="1"/>
      <c r="E18" s="4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s="3" customFormat="1" x14ac:dyDescent="0.55000000000000004">
      <c r="A19" s="3" t="s">
        <v>45</v>
      </c>
      <c r="B19" s="25" t="s">
        <v>32</v>
      </c>
      <c r="C19" s="3" t="s">
        <v>28</v>
      </c>
      <c r="D19" s="3" t="s">
        <v>29</v>
      </c>
      <c r="E19" s="25" t="s">
        <v>0</v>
      </c>
      <c r="F19" s="7"/>
      <c r="I19" s="7"/>
      <c r="L19" s="7"/>
      <c r="O19" s="7"/>
      <c r="R19" s="7"/>
      <c r="U19" s="7"/>
    </row>
    <row r="20" spans="1:23" customFormat="1" x14ac:dyDescent="0.55000000000000004">
      <c r="A20" s="93" t="s">
        <v>170</v>
      </c>
      <c r="B20" s="46" t="s">
        <v>46</v>
      </c>
      <c r="C20" s="1" t="s">
        <v>44</v>
      </c>
      <c r="D20" s="1" t="s">
        <v>139</v>
      </c>
      <c r="E20" s="46"/>
      <c r="F20" s="13" t="str">
        <f>INDEX(tbl_material[],MATCH(F$10,tbl_material[ERP identifier],0),MATCH(RP_wood!$D$20,tbl_material[#Headers],0))</f>
        <v>hardwood</v>
      </c>
      <c r="G20" s="1"/>
      <c r="H20" s="1"/>
      <c r="I20" s="13" t="str">
        <f>INDEX(tbl_material[],MATCH(I$10,tbl_material[ERP identifier],0),MATCH(RP_wood!$D$20,tbl_material[#Headers],0))</f>
        <v>hardwood</v>
      </c>
      <c r="J20" s="1"/>
      <c r="K20" s="1"/>
      <c r="L20" s="13" t="str">
        <f>INDEX(tbl_material[],MATCH(L$10,tbl_material[ERP identifier],0),MATCH(RP_wood!$D$20,tbl_material[#Headers],0))</f>
        <v>hardwood</v>
      </c>
      <c r="M20" s="1"/>
      <c r="N20" s="1"/>
      <c r="O20" s="13" t="str">
        <f>INDEX(tbl_material[],MATCH(O$10,tbl_material[ERP identifier],0),MATCH(RP_wood!$D$20,tbl_material[#Headers],0))</f>
        <v>hardwood</v>
      </c>
      <c r="P20" s="1"/>
      <c r="Q20" s="1"/>
      <c r="R20" s="13" t="e">
        <f>INDEX(tbl_material[],MATCH(R$10,tbl_material[ERP identifier],0),MATCH(RP_wood!$D$20,tbl_material[#Headers],0))</f>
        <v>#N/A</v>
      </c>
      <c r="S20" s="1"/>
      <c r="T20" s="1"/>
      <c r="U20" s="13" t="e">
        <f>INDEX(tbl_material[],MATCH(U$10,tbl_material[ERP identifier],0),MATCH(RP_wood!$D$20,tbl_material[#Headers],0))</f>
        <v>#N/A</v>
      </c>
      <c r="V20" s="1"/>
      <c r="W20" s="1"/>
    </row>
    <row r="21" spans="1:23" customFormat="1" x14ac:dyDescent="0.55000000000000004">
      <c r="A21" s="93"/>
      <c r="B21" s="25" t="s">
        <v>10</v>
      </c>
      <c r="C21" s="1" t="s">
        <v>26</v>
      </c>
      <c r="D21" s="1" t="s">
        <v>109</v>
      </c>
      <c r="E21" s="46" t="s">
        <v>3</v>
      </c>
      <c r="F21" s="5">
        <f>INDEX(tbl_ERP[],MATCH(F20,tbl_ERP[Identifier],0),MATCH(RP_wood!$D$21,tbl_ERP[#Headers],0))</f>
        <v>3000000000000</v>
      </c>
      <c r="G21" s="1"/>
      <c r="H21" s="1"/>
      <c r="I21" s="5">
        <f>INDEX(tbl_ERP[],MATCH(I20,tbl_ERP[Identifier],0),MATCH(RP_wood!$D$21,tbl_ERP[#Headers],0))</f>
        <v>3000000000000</v>
      </c>
      <c r="J21" s="1"/>
      <c r="K21" s="1"/>
      <c r="L21" s="5">
        <f>INDEX(tbl_ERP[],MATCH(L20,tbl_ERP[Identifier],0),MATCH(RP_wood!$D$21,tbl_ERP[#Headers],0))</f>
        <v>3000000000000</v>
      </c>
      <c r="M21" s="1"/>
      <c r="N21" s="1"/>
      <c r="O21" s="5">
        <f>INDEX(tbl_ERP[],MATCH(O20,tbl_ERP[Identifier],0),MATCH(RP_wood!$D$21,tbl_ERP[#Headers],0))</f>
        <v>3000000000000</v>
      </c>
      <c r="P21" s="1"/>
      <c r="Q21" s="1"/>
      <c r="R21" s="5" t="e">
        <f>INDEX(tbl_ERP[],MATCH(R20,tbl_ERP[Identifier],0),MATCH(RP_wood!$D$21,tbl_ERP[#Headers],0))</f>
        <v>#N/A</v>
      </c>
      <c r="S21" s="1"/>
      <c r="T21" s="1"/>
      <c r="U21" s="5" t="e">
        <f>INDEX(tbl_ERP[],MATCH(U20,tbl_ERP[Identifier],0),MATCH(RP_wood!$D$21,tbl_ERP[#Headers],0))</f>
        <v>#N/A</v>
      </c>
      <c r="V21" s="1"/>
      <c r="W21" s="1"/>
    </row>
    <row r="22" spans="1:23" customFormat="1" x14ac:dyDescent="0.55000000000000004">
      <c r="A22" s="93"/>
      <c r="B22" s="1"/>
      <c r="C22" s="1"/>
      <c r="D22" s="1"/>
      <c r="E22" s="46"/>
      <c r="F22" s="2"/>
      <c r="G22" s="1"/>
      <c r="H22" s="1"/>
      <c r="I22" s="2"/>
      <c r="J22" s="1"/>
      <c r="K22" s="1"/>
      <c r="L22" s="2"/>
      <c r="M22" s="1"/>
      <c r="N22" s="1"/>
      <c r="O22" s="2"/>
      <c r="P22" s="1"/>
      <c r="Q22" s="1"/>
      <c r="R22" s="2"/>
      <c r="S22" s="1"/>
      <c r="T22" s="1"/>
      <c r="U22" s="2"/>
      <c r="V22" s="1"/>
      <c r="W22" s="1"/>
    </row>
    <row r="23" spans="1:23" customFormat="1" x14ac:dyDescent="0.55000000000000004">
      <c r="A23" s="93"/>
      <c r="B23" s="92"/>
      <c r="C23" s="1" t="s">
        <v>7</v>
      </c>
      <c r="D23" s="1" t="s">
        <v>34</v>
      </c>
      <c r="E23" s="46" t="s">
        <v>1</v>
      </c>
      <c r="F23" s="38">
        <f>INDEX(tbl_material[],MATCH(F$10,tbl_material[material],0),MATCH(RP_wood!$F$5,tbl_material[#Headers],0))</f>
        <v>1</v>
      </c>
      <c r="G23" s="1"/>
      <c r="H23" s="1"/>
      <c r="I23" s="38">
        <f>INDEX(tbl_material[],MATCH(I$10,tbl_material[material],0),MATCH(RP_wood!$F$5,tbl_material[#Headers],0))</f>
        <v>1</v>
      </c>
      <c r="J23" s="1"/>
      <c r="K23" s="1"/>
      <c r="L23" s="38">
        <f>INDEX(tbl_material[],MATCH(L$10,tbl_material[material],0),MATCH(RP_wood!$F$5,tbl_material[#Headers],0))</f>
        <v>1</v>
      </c>
      <c r="M23" s="1"/>
      <c r="N23" s="1"/>
      <c r="O23" s="38">
        <f>INDEX(tbl_material[],MATCH(O$10,tbl_material[material],0),MATCH(RP_wood!$F$5,tbl_material[#Headers],0))</f>
        <v>1</v>
      </c>
      <c r="P23" s="1"/>
      <c r="Q23" s="1"/>
      <c r="R23" s="38" t="e">
        <f>INDEX(tbl_material[],MATCH(R$10,tbl_material[material],0),MATCH(RP_wood!$F$5,tbl_material[#Headers],0))</f>
        <v>#N/A</v>
      </c>
      <c r="S23" s="1"/>
      <c r="T23" s="1"/>
      <c r="U23" s="38" t="e">
        <f>INDEX(tbl_material[],MATCH(U$10,tbl_material[material],0),MATCH(RP_wood!$F$5,tbl_material[#Headers],0))</f>
        <v>#N/A</v>
      </c>
      <c r="V23" s="1"/>
      <c r="W23" s="1"/>
    </row>
    <row r="24" spans="1:23" customFormat="1" x14ac:dyDescent="0.55000000000000004">
      <c r="A24" s="93"/>
      <c r="B24" s="92"/>
      <c r="C24" s="1" t="s">
        <v>33</v>
      </c>
      <c r="D24" s="1" t="s">
        <v>34</v>
      </c>
      <c r="E24" s="46" t="s">
        <v>1</v>
      </c>
      <c r="F24" s="4">
        <f>1-F23</f>
        <v>0</v>
      </c>
      <c r="G24" s="1"/>
      <c r="H24" s="1"/>
      <c r="I24" s="4">
        <f>1-I23</f>
        <v>0</v>
      </c>
      <c r="J24" s="1"/>
      <c r="K24" s="1"/>
      <c r="L24" s="4">
        <f>1-L23</f>
        <v>0</v>
      </c>
      <c r="M24" s="1"/>
      <c r="N24" s="1"/>
      <c r="O24" s="4">
        <f>1-O23</f>
        <v>0</v>
      </c>
      <c r="P24" s="1"/>
      <c r="Q24" s="1"/>
      <c r="R24" s="4" t="e">
        <f>1-R23</f>
        <v>#N/A</v>
      </c>
      <c r="S24" s="1"/>
      <c r="T24" s="1"/>
      <c r="U24" s="4" t="e">
        <f>1-U23</f>
        <v>#N/A</v>
      </c>
      <c r="V24" s="1"/>
      <c r="W24" s="1"/>
    </row>
    <row r="25" spans="1:23" customFormat="1" x14ac:dyDescent="0.55000000000000004">
      <c r="A25" s="93"/>
      <c r="B25" s="1"/>
      <c r="C25" s="1"/>
      <c r="D25" s="1"/>
      <c r="E25" s="46"/>
      <c r="F25" s="10"/>
      <c r="G25" s="1"/>
      <c r="H25" s="1"/>
      <c r="I25" s="10"/>
      <c r="J25" s="1"/>
      <c r="K25" s="1"/>
      <c r="L25" s="10"/>
      <c r="M25" s="1"/>
      <c r="N25" s="1"/>
      <c r="O25" s="10"/>
      <c r="P25" s="1"/>
      <c r="Q25" s="1"/>
      <c r="R25" s="10"/>
      <c r="S25" s="1"/>
      <c r="T25" s="1"/>
      <c r="U25" s="10"/>
      <c r="V25" s="1"/>
      <c r="W25" s="1"/>
    </row>
    <row r="26" spans="1:23" customFormat="1" x14ac:dyDescent="0.55000000000000004">
      <c r="A26" s="93"/>
      <c r="B26" s="92"/>
      <c r="C26" s="1" t="s">
        <v>57</v>
      </c>
      <c r="D26" s="1" t="s">
        <v>202</v>
      </c>
      <c r="E26" s="46" t="s">
        <v>2</v>
      </c>
      <c r="F26" s="38">
        <f>INDEX(tbl_material[],MATCH(F$10,tbl_material[material],0),MATCH(RP_wood!$C$26,tbl_material[#Headers],0))</f>
        <v>70</v>
      </c>
      <c r="G26" s="15"/>
      <c r="H26" s="15"/>
      <c r="I26" s="38">
        <f>INDEX(tbl_material[],MATCH(I$10,tbl_material[material],0),MATCH(RP_wood!$C$26,tbl_material[#Headers],0))</f>
        <v>70</v>
      </c>
      <c r="J26" s="15"/>
      <c r="K26" s="15"/>
      <c r="L26" s="38">
        <f>INDEX(tbl_material[],MATCH(L$10,tbl_material[material],0),MATCH(RP_wood!$C$26,tbl_material[#Headers],0))</f>
        <v>70</v>
      </c>
      <c r="M26" s="15"/>
      <c r="N26" s="15"/>
      <c r="O26" s="38">
        <f>INDEX(tbl_material[],MATCH(O$10,tbl_material[material],0),MATCH(RP_wood!$C$26,tbl_material[#Headers],0))</f>
        <v>70</v>
      </c>
      <c r="P26" s="15"/>
      <c r="Q26" s="15"/>
      <c r="R26" s="38" t="e">
        <f>INDEX(tbl_material[],MATCH(R$10,tbl_material[material],0),MATCH(RP_wood!$C$26,tbl_material[#Headers],0))</f>
        <v>#N/A</v>
      </c>
      <c r="S26" s="15"/>
      <c r="T26" s="15"/>
      <c r="U26" s="38" t="e">
        <f>INDEX(tbl_material[],MATCH(U$10,tbl_material[material],0),MATCH(RP_wood!$C$26,tbl_material[#Headers],0))</f>
        <v>#N/A</v>
      </c>
      <c r="V26" s="15"/>
      <c r="W26" s="15"/>
    </row>
    <row r="27" spans="1:23" customFormat="1" x14ac:dyDescent="0.55000000000000004">
      <c r="A27" s="93"/>
      <c r="B27" s="92"/>
      <c r="C27" s="1" t="s">
        <v>58</v>
      </c>
      <c r="D27" s="1" t="s">
        <v>24</v>
      </c>
      <c r="E27" s="46" t="s">
        <v>1</v>
      </c>
      <c r="F27" s="38">
        <f>INDEX(tbl_material[],MATCH(F$10,tbl_material[material],0),MATCH(RP_wood!$C$27,tbl_material[#Headers],0))</f>
        <v>0.1</v>
      </c>
      <c r="G27" s="1"/>
      <c r="H27" s="1"/>
      <c r="I27" s="38">
        <v>0.5</v>
      </c>
      <c r="J27" s="1"/>
      <c r="K27" s="1"/>
      <c r="L27" s="38">
        <f>INDEX(tbl_material[],MATCH(L$10,tbl_material[material],0),MATCH(RP_wood!$C$27,tbl_material[#Headers],0))</f>
        <v>0.1</v>
      </c>
      <c r="M27" s="1"/>
      <c r="N27" s="1"/>
      <c r="O27" s="38">
        <v>0.1</v>
      </c>
      <c r="P27" s="1"/>
      <c r="Q27" s="1"/>
      <c r="R27" s="38" t="e">
        <f>INDEX(tbl_material[],MATCH(R$10,tbl_material[material],0),MATCH(RP_wood!$C$27,tbl_material[#Headers],0))</f>
        <v>#N/A</v>
      </c>
      <c r="S27" s="1"/>
      <c r="T27" s="1"/>
      <c r="U27" s="38" t="e">
        <f>INDEX(tbl_material[],MATCH(U$10,tbl_material[material],0),MATCH(RP_wood!$C$27,tbl_material[#Headers],0))</f>
        <v>#N/A</v>
      </c>
      <c r="V27" s="1"/>
      <c r="W27" s="1"/>
    </row>
    <row r="28" spans="1:23" customFormat="1" x14ac:dyDescent="0.55000000000000004">
      <c r="A28" s="93"/>
      <c r="B28" s="92"/>
      <c r="C28" s="1" t="s">
        <v>58</v>
      </c>
      <c r="D28" s="1" t="s">
        <v>25</v>
      </c>
      <c r="E28" s="46" t="s">
        <v>2</v>
      </c>
      <c r="F28" s="4">
        <f>F26*F27</f>
        <v>7</v>
      </c>
      <c r="G28" s="1"/>
      <c r="H28" s="1"/>
      <c r="I28" s="4">
        <f>I26*I27</f>
        <v>35</v>
      </c>
      <c r="J28" s="1"/>
      <c r="K28" s="1"/>
      <c r="L28" s="4">
        <f>L26*L27</f>
        <v>7</v>
      </c>
      <c r="M28" s="1"/>
      <c r="N28" s="1"/>
      <c r="O28" s="4">
        <f>O26*O27</f>
        <v>7</v>
      </c>
      <c r="P28" s="1"/>
      <c r="Q28" s="1"/>
      <c r="R28" s="4" t="e">
        <f>R26*R27</f>
        <v>#N/A</v>
      </c>
      <c r="S28" s="1"/>
      <c r="T28" s="1"/>
      <c r="U28" s="4" t="e">
        <f>U26*U27</f>
        <v>#N/A</v>
      </c>
      <c r="V28" s="1"/>
      <c r="W28" s="1"/>
    </row>
    <row r="29" spans="1:23" customFormat="1" x14ac:dyDescent="0.55000000000000004">
      <c r="A29" s="93"/>
      <c r="B29" s="92"/>
      <c r="C29" s="1" t="s">
        <v>23</v>
      </c>
      <c r="D29" s="1" t="s">
        <v>25</v>
      </c>
      <c r="E29" s="46" t="s">
        <v>2</v>
      </c>
      <c r="F29" s="4">
        <f>F26*(1+F27)</f>
        <v>77</v>
      </c>
      <c r="G29" s="1"/>
      <c r="H29" s="1"/>
      <c r="I29" s="4">
        <f>I26*(1+I27)</f>
        <v>105</v>
      </c>
      <c r="J29" s="1"/>
      <c r="K29" s="1"/>
      <c r="L29" s="4">
        <f>L26*(1+L27)</f>
        <v>77</v>
      </c>
      <c r="M29" s="1"/>
      <c r="N29" s="1"/>
      <c r="O29" s="4">
        <f>O26*(1+O27)</f>
        <v>77</v>
      </c>
      <c r="P29" s="1"/>
      <c r="Q29" s="1"/>
      <c r="R29" s="4" t="e">
        <f>R26*(1+R27)</f>
        <v>#N/A</v>
      </c>
      <c r="S29" s="1"/>
      <c r="T29" s="1"/>
      <c r="U29" s="4" t="e">
        <f>U26*(1+U27)</f>
        <v>#N/A</v>
      </c>
      <c r="V29" s="1"/>
      <c r="W29" s="1"/>
    </row>
    <row r="30" spans="1:23" customFormat="1" x14ac:dyDescent="0.55000000000000004">
      <c r="A30" s="93"/>
      <c r="B30" s="1"/>
      <c r="C30" s="1"/>
      <c r="D30" s="1"/>
      <c r="E30" s="46"/>
      <c r="F30" s="4"/>
      <c r="G30" s="1"/>
      <c r="H30" s="1"/>
      <c r="I30" s="4"/>
      <c r="J30" s="1"/>
      <c r="K30" s="1"/>
      <c r="L30" s="4"/>
      <c r="M30" s="1"/>
      <c r="N30" s="1"/>
      <c r="O30" s="4"/>
      <c r="P30" s="1"/>
      <c r="Q30" s="1"/>
      <c r="R30" s="4"/>
      <c r="S30" s="1"/>
      <c r="T30" s="1"/>
      <c r="U30" s="4"/>
      <c r="V30" s="1"/>
      <c r="W30" s="1"/>
    </row>
    <row r="31" spans="1:23" customFormat="1" x14ac:dyDescent="0.55000000000000004">
      <c r="A31" s="93"/>
      <c r="B31" s="92"/>
      <c r="C31" s="1" t="s">
        <v>8</v>
      </c>
      <c r="D31" s="1" t="s">
        <v>59</v>
      </c>
      <c r="E31" s="46" t="s">
        <v>1</v>
      </c>
      <c r="F31" s="38">
        <f>INDEX(tbl_material[],MATCH(F$10,tbl_material[material],0),MATCH(RP_wood!$C$31,tbl_material[#Headers],0))</f>
        <v>1</v>
      </c>
      <c r="G31" s="1"/>
      <c r="H31" s="1"/>
      <c r="I31" s="38">
        <f>INDEX(tbl_material[],MATCH(I$10,tbl_material[material],0),MATCH(RP_wood!$C$31,tbl_material[#Headers],0))</f>
        <v>1</v>
      </c>
      <c r="J31" s="1"/>
      <c r="K31" s="1"/>
      <c r="L31" s="38">
        <f>INDEX(tbl_material[],MATCH(L$10,tbl_material[material],0),MATCH(RP_wood!$C$31,tbl_material[#Headers],0))</f>
        <v>1</v>
      </c>
      <c r="M31" s="1"/>
      <c r="N31" s="1"/>
      <c r="O31" s="38">
        <f>INDEX(tbl_material[],MATCH(O$10,tbl_material[material],0),MATCH(RP_wood!$C$31,tbl_material[#Headers],0))</f>
        <v>1</v>
      </c>
      <c r="P31" s="1"/>
      <c r="Q31" s="1"/>
      <c r="R31" s="38" t="e">
        <f>INDEX(tbl_material[],MATCH(R$10,tbl_material[material],0),MATCH(RP_wood!$C$31,tbl_material[#Headers],0))</f>
        <v>#N/A</v>
      </c>
      <c r="S31" s="1"/>
      <c r="T31" s="1"/>
      <c r="U31" s="38" t="e">
        <f>INDEX(tbl_material[],MATCH(U$10,tbl_material[material],0),MATCH(RP_wood!$C$31,tbl_material[#Headers],0))</f>
        <v>#N/A</v>
      </c>
      <c r="V31" s="1"/>
      <c r="W31" s="1"/>
    </row>
    <row r="32" spans="1:23" customFormat="1" x14ac:dyDescent="0.55000000000000004">
      <c r="A32" s="93"/>
      <c r="B32" s="92"/>
      <c r="C32" s="1" t="s">
        <v>9</v>
      </c>
      <c r="D32" s="1" t="s">
        <v>60</v>
      </c>
      <c r="E32" s="46" t="s">
        <v>1</v>
      </c>
      <c r="F32" s="38">
        <f>INDEX(tbl_material[],MATCH(F$10,tbl_material[material],0),MATCH(RP_wood!$C$32,tbl_material[#Headers],0))</f>
        <v>0</v>
      </c>
      <c r="G32" s="1"/>
      <c r="H32" s="1"/>
      <c r="I32" s="38">
        <f>INDEX(tbl_material[],MATCH(I$10,tbl_material[material],0),MATCH(RP_wood!$C$32,tbl_material[#Headers],0))</f>
        <v>0</v>
      </c>
      <c r="J32" s="1"/>
      <c r="K32" s="1"/>
      <c r="L32" s="38">
        <f>INDEX(tbl_material[],MATCH(L$10,tbl_material[material],0),MATCH(RP_wood!$C$32,tbl_material[#Headers],0))</f>
        <v>0</v>
      </c>
      <c r="M32" s="1"/>
      <c r="N32" s="1"/>
      <c r="O32" s="38">
        <f>INDEX(tbl_material[],MATCH(O$10,tbl_material[material],0),MATCH(RP_wood!$C$32,tbl_material[#Headers],0))</f>
        <v>0</v>
      </c>
      <c r="P32" s="1"/>
      <c r="Q32" s="1"/>
      <c r="R32" s="38" t="e">
        <f>INDEX(tbl_material[],MATCH(R$10,tbl_material[material],0),MATCH(RP_wood!$C$32,tbl_material[#Headers],0))</f>
        <v>#N/A</v>
      </c>
      <c r="S32" s="1"/>
      <c r="T32" s="1"/>
      <c r="U32" s="38" t="e">
        <f>INDEX(tbl_material[],MATCH(U$10,tbl_material[material],0),MATCH(RP_wood!$C$32,tbl_material[#Headers],0))</f>
        <v>#N/A</v>
      </c>
      <c r="V32" s="1"/>
      <c r="W32" s="1"/>
    </row>
    <row r="33" spans="1:23" customFormat="1" x14ac:dyDescent="0.55000000000000004">
      <c r="A33" s="93"/>
      <c r="B33" s="92"/>
      <c r="C33" s="1" t="s">
        <v>62</v>
      </c>
      <c r="D33" s="1" t="s">
        <v>60</v>
      </c>
      <c r="E33" s="46" t="s">
        <v>1</v>
      </c>
      <c r="F33" s="38">
        <f>INDEX(tbl_material[],MATCH(F$10,tbl_material[material],0),MATCH(RP_wood!$C$33,tbl_material[#Headers],0))</f>
        <v>0.9</v>
      </c>
      <c r="G33" s="1"/>
      <c r="H33" s="1"/>
      <c r="I33" s="38">
        <f>INDEX(tbl_material[],MATCH(I$10,tbl_material[material],0),MATCH(RP_wood!$C$33,tbl_material[#Headers],0))</f>
        <v>0.9</v>
      </c>
      <c r="J33" s="1"/>
      <c r="K33" s="1"/>
      <c r="L33" s="38">
        <f>INDEX(tbl_material[],MATCH(L$10,tbl_material[material],0),MATCH(RP_wood!$C$33,tbl_material[#Headers],0))</f>
        <v>0.9</v>
      </c>
      <c r="M33" s="1"/>
      <c r="N33" s="1"/>
      <c r="O33" s="38">
        <v>0</v>
      </c>
      <c r="P33" s="1"/>
      <c r="Q33" s="1"/>
      <c r="R33" s="38" t="e">
        <f>INDEX(tbl_material[],MATCH(R$10,tbl_material[material],0),MATCH(RP_wood!$C$33,tbl_material[#Headers],0))</f>
        <v>#N/A</v>
      </c>
      <c r="S33" s="1"/>
      <c r="T33" s="1"/>
      <c r="U33" s="38" t="e">
        <f>INDEX(tbl_material[],MATCH(U$10,tbl_material[material],0),MATCH(RP_wood!$C$33,tbl_material[#Headers],0))</f>
        <v>#N/A</v>
      </c>
      <c r="V33" s="1"/>
      <c r="W33" s="1"/>
    </row>
    <row r="34" spans="1:23" customFormat="1" x14ac:dyDescent="0.55000000000000004">
      <c r="A34" s="93"/>
      <c r="B34" s="92"/>
      <c r="C34" s="1" t="s">
        <v>22</v>
      </c>
      <c r="D34" s="1" t="s">
        <v>60</v>
      </c>
      <c r="E34" s="46" t="s">
        <v>1</v>
      </c>
      <c r="F34" s="4">
        <f>1-F31+F31*(1-F32-F33)</f>
        <v>9.9999999999999978E-2</v>
      </c>
      <c r="G34" s="4"/>
      <c r="H34" s="4"/>
      <c r="I34" s="4">
        <f>1-I31+I31*(1-I32-I33)</f>
        <v>9.9999999999999978E-2</v>
      </c>
      <c r="J34" s="4"/>
      <c r="K34" s="4"/>
      <c r="L34" s="4">
        <f>1-L31+L31*(1-L32-L33)</f>
        <v>9.9999999999999978E-2</v>
      </c>
      <c r="M34" s="4"/>
      <c r="N34" s="4"/>
      <c r="O34" s="4">
        <f>1-O31+O31*(1-O32-O33)</f>
        <v>1</v>
      </c>
      <c r="P34" s="4"/>
      <c r="Q34" s="4"/>
      <c r="R34" s="4" t="e">
        <f>1-R31+R31*(1-R32-R33)</f>
        <v>#N/A</v>
      </c>
      <c r="S34" s="4"/>
      <c r="T34" s="4"/>
      <c r="U34" s="4" t="e">
        <f>1-U31+U31*(1-U32-U33)</f>
        <v>#N/A</v>
      </c>
      <c r="V34" s="4"/>
      <c r="W34" s="4"/>
    </row>
    <row r="35" spans="1:23" customFormat="1" x14ac:dyDescent="0.55000000000000004">
      <c r="A35" s="93"/>
      <c r="B35" s="1"/>
      <c r="C35" s="1"/>
      <c r="D35" s="1"/>
      <c r="E35" s="46"/>
      <c r="F35" s="4"/>
      <c r="G35" s="1"/>
      <c r="H35" s="1"/>
      <c r="I35" s="4"/>
      <c r="J35" s="1"/>
      <c r="K35" s="1"/>
      <c r="L35" s="4"/>
      <c r="M35" s="1"/>
      <c r="N35" s="1"/>
      <c r="O35" s="4"/>
      <c r="P35" s="1"/>
      <c r="Q35" s="1"/>
      <c r="R35" s="4"/>
      <c r="S35" s="1"/>
      <c r="T35" s="1"/>
      <c r="U35" s="4"/>
      <c r="V35" s="1"/>
      <c r="W35" s="1"/>
    </row>
    <row r="36" spans="1:23" customFormat="1" x14ac:dyDescent="0.55000000000000004">
      <c r="A36" s="93"/>
      <c r="B36" s="92"/>
      <c r="C36" s="1" t="s">
        <v>8</v>
      </c>
      <c r="D36" s="1" t="s">
        <v>20</v>
      </c>
      <c r="E36" s="46" t="s">
        <v>1</v>
      </c>
      <c r="F36" s="38">
        <f>INDEX(tbl_material[],MATCH(F$10,tbl_material[material],0),MATCH(RP_wood!$F$6,tbl_material[#Headers],0))</f>
        <v>1</v>
      </c>
      <c r="G36" s="24"/>
      <c r="H36" s="24"/>
      <c r="I36" s="38">
        <f>INDEX(tbl_material[],MATCH(I$10,tbl_material[material],0),MATCH(RP_wood!$I$6,tbl_material[#Headers],0))</f>
        <v>1</v>
      </c>
      <c r="J36" s="24"/>
      <c r="K36" s="24"/>
      <c r="L36" s="38">
        <f>INDEX(tbl_material[],MATCH(L$10,tbl_material[material],0),MATCH(RP_wood!$I$6,tbl_material[#Headers],0))</f>
        <v>1</v>
      </c>
      <c r="M36" s="24"/>
      <c r="N36" s="24"/>
      <c r="O36" s="38">
        <f>INDEX(tbl_material[],MATCH(O$10,tbl_material[material],0),MATCH(RP_wood!$I$6,tbl_material[#Headers],0))</f>
        <v>1</v>
      </c>
      <c r="P36" s="24"/>
      <c r="Q36" s="24"/>
      <c r="R36" s="38" t="e">
        <f>INDEX(tbl_material[],MATCH(R$10,tbl_material[material],0),MATCH(RP_wood!$I$6,tbl_material[#Headers],0))</f>
        <v>#N/A</v>
      </c>
      <c r="S36" s="24"/>
      <c r="T36" s="24"/>
      <c r="U36" s="38" t="e">
        <f>INDEX(tbl_material[],MATCH(U$10,tbl_material[material],0),MATCH(RP_wood!$I$6,tbl_material[#Headers],0))</f>
        <v>#N/A</v>
      </c>
      <c r="V36" s="24"/>
      <c r="W36" s="24"/>
    </row>
    <row r="37" spans="1:23" customFormat="1" x14ac:dyDescent="0.55000000000000004">
      <c r="A37" s="93"/>
      <c r="B37" s="92"/>
      <c r="C37" s="1" t="s">
        <v>9</v>
      </c>
      <c r="D37" s="1" t="s">
        <v>61</v>
      </c>
      <c r="E37" s="46" t="s">
        <v>1</v>
      </c>
      <c r="F37" s="38">
        <f>INDEX(tbl_material[],MATCH(F$10,tbl_material[material],0),MATCH(RP_wood!$F$7,tbl_material[#Headers],0))</f>
        <v>0</v>
      </c>
      <c r="G37" s="4"/>
      <c r="H37" s="4"/>
      <c r="I37" s="38">
        <f>INDEX(tbl_material[],MATCH(I$10,tbl_material[material],0),MATCH(RP_wood!$F$7,tbl_material[#Headers],0))</f>
        <v>0</v>
      </c>
      <c r="J37" s="4"/>
      <c r="K37" s="4"/>
      <c r="L37" s="38">
        <f>INDEX(tbl_material[],MATCH(L$10,tbl_material[material],0),MATCH(RP_wood!$F$7,tbl_material[#Headers],0))</f>
        <v>0</v>
      </c>
      <c r="M37" s="4"/>
      <c r="N37" s="4"/>
      <c r="O37" s="38">
        <f>INDEX(tbl_material[],MATCH(O$10,tbl_material[material],0),MATCH(RP_wood!$F$7,tbl_material[#Headers],0))</f>
        <v>0</v>
      </c>
      <c r="P37" s="4"/>
      <c r="Q37" s="4"/>
      <c r="R37" s="38" t="e">
        <f>INDEX(tbl_material[],MATCH(R$10,tbl_material[material],0),MATCH(RP_wood!$F$7,tbl_material[#Headers],0))</f>
        <v>#N/A</v>
      </c>
      <c r="S37" s="4"/>
      <c r="T37" s="4"/>
      <c r="U37" s="38" t="e">
        <f>INDEX(tbl_material[],MATCH(U$10,tbl_material[material],0),MATCH(RP_wood!$F$7,tbl_material[#Headers],0))</f>
        <v>#N/A</v>
      </c>
      <c r="V37" s="4"/>
      <c r="W37" s="4"/>
    </row>
    <row r="38" spans="1:23" customFormat="1" x14ac:dyDescent="0.55000000000000004">
      <c r="A38" s="93"/>
      <c r="B38" s="92"/>
      <c r="C38" s="1" t="s">
        <v>62</v>
      </c>
      <c r="D38" s="1" t="s">
        <v>61</v>
      </c>
      <c r="E38" s="46" t="s">
        <v>1</v>
      </c>
      <c r="F38" s="38">
        <f>INDEX(tbl_material[],MATCH(F$10,tbl_material[material],0),MATCH(RP_wood!$F$8,tbl_material[#Headers],0))</f>
        <v>0</v>
      </c>
      <c r="G38" s="4"/>
      <c r="H38" s="4"/>
      <c r="I38" s="38">
        <f>INDEX(tbl_material[],MATCH(I$10,tbl_material[material],0),MATCH(RP_wood!$F$8,tbl_material[#Headers],0))</f>
        <v>0</v>
      </c>
      <c r="J38" s="4"/>
      <c r="K38" s="4"/>
      <c r="L38" s="38">
        <f>INDEX(tbl_material[],MATCH(L$10,tbl_material[material],0),MATCH(RP_wood!$F$8,tbl_material[#Headers],0))</f>
        <v>0</v>
      </c>
      <c r="M38" s="4"/>
      <c r="N38" s="4"/>
      <c r="O38" s="38">
        <f>INDEX(tbl_material[],MATCH(O$10,tbl_material[material],0),MATCH(RP_wood!$F$8,tbl_material[#Headers],0))</f>
        <v>0</v>
      </c>
      <c r="P38" s="4"/>
      <c r="Q38" s="4"/>
      <c r="R38" s="38" t="e">
        <f>INDEX(tbl_material[],MATCH(R$10,tbl_material[material],0),MATCH(RP_wood!$F$8,tbl_material[#Headers],0))</f>
        <v>#N/A</v>
      </c>
      <c r="S38" s="4"/>
      <c r="T38" s="4"/>
      <c r="U38" s="38" t="e">
        <f>INDEX(tbl_material[],MATCH(U$10,tbl_material[material],0),MATCH(RP_wood!$F$8,tbl_material[#Headers],0))</f>
        <v>#N/A</v>
      </c>
      <c r="V38" s="4"/>
      <c r="W38" s="4"/>
    </row>
    <row r="39" spans="1:23" customFormat="1" x14ac:dyDescent="0.55000000000000004">
      <c r="A39" s="93"/>
      <c r="B39" s="92"/>
      <c r="C39" s="1" t="s">
        <v>22</v>
      </c>
      <c r="D39" s="1" t="s">
        <v>61</v>
      </c>
      <c r="E39" s="46" t="s">
        <v>1</v>
      </c>
      <c r="F39" s="4">
        <f>1-F36+F36*(1-F37-F38)</f>
        <v>1</v>
      </c>
      <c r="G39" s="4"/>
      <c r="H39" s="4"/>
      <c r="I39" s="4">
        <f>1-I36+I36*(1-I37-I38)</f>
        <v>1</v>
      </c>
      <c r="J39" s="4"/>
      <c r="K39" s="4"/>
      <c r="L39" s="4">
        <f>1-L36+L36*(1-L37-L38)</f>
        <v>1</v>
      </c>
      <c r="M39" s="4"/>
      <c r="N39" s="4"/>
      <c r="O39" s="4">
        <f>1-O36+O36*(1-O37-O38)</f>
        <v>1</v>
      </c>
      <c r="P39" s="4"/>
      <c r="Q39" s="4"/>
      <c r="R39" s="4" t="e">
        <f>1-R36+R36*(1-R37-R38)</f>
        <v>#N/A</v>
      </c>
      <c r="S39" s="4"/>
      <c r="T39" s="4"/>
      <c r="U39" s="4" t="e">
        <f>1-U36+U36*(1-U37-U38)</f>
        <v>#N/A</v>
      </c>
      <c r="V39" s="4"/>
      <c r="W39" s="4"/>
    </row>
    <row r="40" spans="1:23" customFormat="1" x14ac:dyDescent="0.55000000000000004">
      <c r="A40" s="93"/>
      <c r="B40" s="1"/>
      <c r="C40" s="1"/>
      <c r="D40" s="1"/>
      <c r="E40" s="4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customFormat="1" x14ac:dyDescent="0.55000000000000004">
      <c r="A41" s="93"/>
      <c r="B41" s="92"/>
      <c r="C41" s="1" t="s">
        <v>5</v>
      </c>
      <c r="D41" s="1" t="s">
        <v>35</v>
      </c>
      <c r="E41" s="46" t="s">
        <v>1</v>
      </c>
      <c r="F41" s="11">
        <f>(F31*F32*F27+F36*F37)/(1+F27)</f>
        <v>0</v>
      </c>
      <c r="G41" s="11"/>
      <c r="H41" s="11"/>
      <c r="I41" s="11">
        <f>(I31*I32*I27+I36*I37)/(1+I27)</f>
        <v>0</v>
      </c>
      <c r="J41" s="11"/>
      <c r="K41" s="11"/>
      <c r="L41" s="11">
        <f>(L31*L32*L27+L36*L37)/(1+L27)</f>
        <v>0</v>
      </c>
      <c r="M41" s="11"/>
      <c r="N41" s="11"/>
      <c r="O41" s="11">
        <f>(O31*O32*O27+O36*O37)/(1+O27)</f>
        <v>0</v>
      </c>
      <c r="P41" s="11"/>
      <c r="Q41" s="11"/>
      <c r="R41" s="11" t="e">
        <f>(R31*R32*R27+R36*R37)/(1+R27)</f>
        <v>#N/A</v>
      </c>
      <c r="S41" s="11"/>
      <c r="T41" s="11"/>
      <c r="U41" s="11" t="e">
        <f>(U31*U32*U27+U36*U37)/(1+U27)</f>
        <v>#N/A</v>
      </c>
      <c r="V41" s="11"/>
      <c r="W41" s="11"/>
    </row>
    <row r="42" spans="1:23" customFormat="1" x14ac:dyDescent="0.55000000000000004">
      <c r="A42" s="93"/>
      <c r="B42" s="92"/>
      <c r="C42" s="1" t="s">
        <v>4</v>
      </c>
      <c r="D42" s="1" t="s">
        <v>35</v>
      </c>
      <c r="E42" s="46" t="s">
        <v>1</v>
      </c>
      <c r="F42" s="11">
        <f>(F31*F33*F27+F36*F38)/(1+F27)</f>
        <v>8.1818181818181818E-2</v>
      </c>
      <c r="G42" s="11"/>
      <c r="H42" s="11"/>
      <c r="I42" s="11">
        <f>(I31*I33*I27+I36*I38)/(1+I27)</f>
        <v>0.3</v>
      </c>
      <c r="J42" s="11"/>
      <c r="K42" s="11"/>
      <c r="L42" s="11">
        <f>(L31*L33*L27+L36*L38)/(1+L27)</f>
        <v>8.1818181818181818E-2</v>
      </c>
      <c r="M42" s="11"/>
      <c r="N42" s="11"/>
      <c r="O42" s="11">
        <f>(O31*O33*O27+O36*O38)/(1+O27)</f>
        <v>0</v>
      </c>
      <c r="P42" s="11"/>
      <c r="Q42" s="11"/>
      <c r="R42" s="11" t="e">
        <f>(R31*R33*R27+R36*R38)/(1+R27)</f>
        <v>#N/A</v>
      </c>
      <c r="S42" s="11"/>
      <c r="T42" s="11"/>
      <c r="U42" s="11" t="e">
        <f>(U31*U33*U27+U36*U38)/(1+U27)</f>
        <v>#N/A</v>
      </c>
      <c r="V42" s="11"/>
      <c r="W42" s="11"/>
    </row>
    <row r="43" spans="1:23" customFormat="1" x14ac:dyDescent="0.55000000000000004">
      <c r="A43" s="93"/>
      <c r="B43" s="92"/>
      <c r="C43" s="1" t="s">
        <v>6</v>
      </c>
      <c r="D43" s="1" t="s">
        <v>35</v>
      </c>
      <c r="E43" s="46" t="s">
        <v>1</v>
      </c>
      <c r="F43" s="4">
        <f>1-F41-F42</f>
        <v>0.91818181818181821</v>
      </c>
      <c r="G43" s="4"/>
      <c r="H43" s="4"/>
      <c r="I43" s="4">
        <f>1-I41-I42</f>
        <v>0.7</v>
      </c>
      <c r="J43" s="4"/>
      <c r="K43" s="4"/>
      <c r="L43" s="4">
        <f>1-L41-L42</f>
        <v>0.91818181818181821</v>
      </c>
      <c r="M43" s="4"/>
      <c r="N43" s="4"/>
      <c r="O43" s="4">
        <f>1-O41-O42</f>
        <v>1</v>
      </c>
      <c r="P43" s="4"/>
      <c r="Q43" s="4"/>
      <c r="R43" s="4" t="e">
        <f>1-R41-R42</f>
        <v>#N/A</v>
      </c>
      <c r="S43" s="4"/>
      <c r="T43" s="4"/>
      <c r="U43" s="4" t="e">
        <f>1-U41-U42</f>
        <v>#N/A</v>
      </c>
      <c r="V43" s="4"/>
      <c r="W43" s="4"/>
    </row>
    <row r="44" spans="1:23" customFormat="1" ht="14.5" customHeight="1" x14ac:dyDescent="0.55000000000000004">
      <c r="A44" s="93"/>
      <c r="B44" s="1"/>
      <c r="C44" s="1"/>
      <c r="D44" s="1"/>
      <c r="E44" s="4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3" customFormat="1" ht="14.5" customHeight="1" x14ac:dyDescent="0.65">
      <c r="A45" s="93"/>
      <c r="B45" s="9" t="s">
        <v>31</v>
      </c>
      <c r="C45" s="3" t="s">
        <v>43</v>
      </c>
      <c r="D45" s="3" t="s">
        <v>38</v>
      </c>
      <c r="E45" s="25" t="s">
        <v>1</v>
      </c>
      <c r="F45" s="6">
        <f>(0.5*F26/F21)*(1+F27)*(1/lifetime_wood)*(1+F23*(1-F41)-F41-F42)</f>
        <v>9.8466666666666664E-13</v>
      </c>
      <c r="G45" s="5"/>
      <c r="H45" s="5"/>
      <c r="I45" s="6">
        <f>(0.5*I26/I21)*(1+I27)*(1/lifetime_wood)*(1+I23*(1-I41)-I41-I42)</f>
        <v>1.19E-12</v>
      </c>
      <c r="J45" s="5"/>
      <c r="K45" s="5"/>
      <c r="L45" s="6">
        <f>(0.5*L26/L21)*(1+L27)*(1/lifetime_wood)*(1+L23*(1-L41)-L41-L42)</f>
        <v>9.8466666666666664E-13</v>
      </c>
      <c r="M45" s="5"/>
      <c r="N45" s="5"/>
      <c r="O45" s="6">
        <f>(0.5*O26/O21)*(1+O27)*(1/lifetime_wood)*(1+O23*(1-O41)-O41-O42)</f>
        <v>1.0266666666666667E-12</v>
      </c>
      <c r="P45" s="5"/>
      <c r="Q45" s="5"/>
      <c r="R45" s="6" t="e">
        <f>(0.5*R26/R21)*(1+R27)*(1/lifetime_wood)*(1+R23*(1-R41)-R41-R42)</f>
        <v>#N/A</v>
      </c>
      <c r="S45" s="5"/>
      <c r="T45" s="5"/>
      <c r="U45" s="6" t="e">
        <f>(0.5*U26/U21)*(1+U27)*(1/lifetime_wood)*(1+U23*(1-U41)-U41-U42)</f>
        <v>#N/A</v>
      </c>
      <c r="V45" s="5"/>
      <c r="W45" s="5"/>
    </row>
    <row r="46" spans="1:23" s="3" customFormat="1" ht="14.5" customHeight="1" x14ac:dyDescent="0.65">
      <c r="A46" s="1"/>
      <c r="B46" s="9"/>
      <c r="E46" s="25"/>
      <c r="F46" s="6"/>
      <c r="G46" s="5"/>
      <c r="H46" s="5"/>
      <c r="I46" s="6"/>
      <c r="J46" s="5"/>
      <c r="K46" s="5"/>
      <c r="L46" s="6"/>
      <c r="M46" s="5"/>
      <c r="N46" s="5"/>
      <c r="O46" s="6"/>
      <c r="P46" s="5"/>
      <c r="Q46" s="5"/>
      <c r="R46" s="6"/>
      <c r="S46" s="5"/>
      <c r="T46" s="5"/>
      <c r="U46" s="6"/>
      <c r="V46" s="5"/>
      <c r="W46" s="5"/>
    </row>
    <row r="47" spans="1:23" s="3" customFormat="1" ht="14.5" customHeight="1" x14ac:dyDescent="0.65">
      <c r="A47" s="1"/>
      <c r="B47" s="9"/>
      <c r="E47" s="25"/>
      <c r="F47" s="6"/>
      <c r="G47" s="5"/>
      <c r="H47" s="5"/>
      <c r="I47" s="6"/>
      <c r="J47" s="5"/>
      <c r="K47" s="5"/>
      <c r="L47" s="6"/>
      <c r="M47" s="5"/>
      <c r="N47" s="5"/>
      <c r="O47" s="6"/>
      <c r="P47" s="5"/>
      <c r="Q47" s="5"/>
      <c r="R47" s="6"/>
      <c r="S47" s="5"/>
      <c r="T47" s="5"/>
      <c r="U47" s="6"/>
      <c r="V47" s="5"/>
      <c r="W47" s="5"/>
    </row>
    <row r="48" spans="1:23" s="3" customFormat="1" ht="14.5" customHeight="1" x14ac:dyDescent="0.55000000000000004">
      <c r="A48" s="94" t="s">
        <v>189</v>
      </c>
      <c r="B48" s="46" t="s">
        <v>46</v>
      </c>
      <c r="C48" s="1" t="s">
        <v>44</v>
      </c>
      <c r="D48" s="1" t="s">
        <v>139</v>
      </c>
      <c r="E48" s="46"/>
      <c r="F48" s="13" t="str">
        <f>INDEX(tbl_material[],MATCH(F$11,tbl_material[ERP identifier],0),MATCH(RP_wood!$D$48,tbl_material[#Headers],0))</f>
        <v>low-alloyed steel</v>
      </c>
      <c r="G48" s="5"/>
      <c r="H48" s="5"/>
      <c r="I48" s="13" t="str">
        <f>INDEX(tbl_material[],MATCH(I$11,tbl_material[ERP identifier],0),MATCH(RP_wood!$D$48,tbl_material[#Headers],0))</f>
        <v>low-alloyed steel</v>
      </c>
      <c r="J48" s="5"/>
      <c r="K48" s="5"/>
      <c r="L48" s="13" t="str">
        <f>INDEX(tbl_material[],MATCH(L$11,tbl_material[ERP identifier],0),MATCH(RP_wood!$D$48,tbl_material[#Headers],0))</f>
        <v>low-alloyed steel</v>
      </c>
      <c r="M48" s="5"/>
      <c r="N48" s="5"/>
      <c r="O48" s="13" t="str">
        <f>INDEX(tbl_material[],MATCH(O$11,tbl_material[ERP identifier],0),MATCH(RP_wood!$D$48,tbl_material[#Headers],0))</f>
        <v>low-alloyed steel</v>
      </c>
      <c r="P48" s="5"/>
      <c r="Q48" s="5"/>
      <c r="R48" s="13" t="e">
        <f>INDEX(tbl_material[],MATCH(R$11,tbl_material[ERP identifier],0),MATCH(RP_wood!$D$48,tbl_material[#Headers],0))</f>
        <v>#N/A</v>
      </c>
      <c r="S48" s="5"/>
      <c r="T48" s="5"/>
      <c r="U48" s="13" t="e">
        <f>INDEX(tbl_material[],MATCH(U$11,tbl_material[ERP identifier],0),MATCH(RP_wood!$D$48,tbl_material[#Headers],0))</f>
        <v>#N/A</v>
      </c>
      <c r="V48" s="5"/>
      <c r="W48" s="5"/>
    </row>
    <row r="49" spans="1:23" s="3" customFormat="1" ht="14.5" customHeight="1" x14ac:dyDescent="0.55000000000000004">
      <c r="A49" s="94"/>
      <c r="B49" s="25" t="s">
        <v>10</v>
      </c>
      <c r="C49" s="1" t="s">
        <v>26</v>
      </c>
      <c r="D49" s="1" t="s">
        <v>109</v>
      </c>
      <c r="E49" s="46" t="s">
        <v>3</v>
      </c>
      <c r="F49" s="5">
        <f>INDEX(tbl_ERP[],MATCH(F48,tbl_ERP[Identifier],0),MATCH(RP_wood!$D$49,tbl_ERP[#Headers],0))</f>
        <v>433522509715.61029</v>
      </c>
      <c r="G49" s="5"/>
      <c r="H49" s="5"/>
      <c r="I49" s="5">
        <f>INDEX(tbl_ERP[],MATCH(I48,tbl_ERP[Identifier],0),MATCH(RP_wood!$D$49,tbl_ERP[#Headers],0))</f>
        <v>433522509715.61029</v>
      </c>
      <c r="J49" s="5"/>
      <c r="K49" s="5"/>
      <c r="L49" s="5">
        <f>INDEX(tbl_ERP[],MATCH(L48,tbl_ERP[Identifier],0),MATCH(RP_wood!$D$49,tbl_ERP[#Headers],0))</f>
        <v>433522509715.61029</v>
      </c>
      <c r="M49" s="5"/>
      <c r="N49" s="5"/>
      <c r="O49" s="5">
        <f>INDEX(tbl_ERP[],MATCH(O48,tbl_ERP[Identifier],0),MATCH(RP_wood!$D$49,tbl_ERP[#Headers],0))</f>
        <v>433522509715.61029</v>
      </c>
      <c r="P49" s="5"/>
      <c r="Q49" s="5"/>
      <c r="R49" s="5" t="e">
        <f>INDEX(tbl_ERP[],MATCH(R48,tbl_ERP[Identifier],0),MATCH(RP_wood!$D$49,tbl_ERP[#Headers],0))</f>
        <v>#N/A</v>
      </c>
      <c r="S49" s="5"/>
      <c r="T49" s="5"/>
      <c r="U49" s="5" t="e">
        <f>INDEX(tbl_ERP[],MATCH(U48,tbl_ERP[Identifier],0),MATCH(RP_wood!$D$49,tbl_ERP[#Headers],0))</f>
        <v>#N/A</v>
      </c>
      <c r="V49" s="5"/>
      <c r="W49" s="5"/>
    </row>
    <row r="50" spans="1:23" s="3" customFormat="1" ht="14.5" customHeight="1" x14ac:dyDescent="0.55000000000000004">
      <c r="A50" s="94"/>
      <c r="B50" s="1"/>
      <c r="C50" s="1"/>
      <c r="D50" s="1"/>
      <c r="E50" s="46"/>
      <c r="F50" s="6"/>
      <c r="G50" s="5"/>
      <c r="H50" s="5"/>
      <c r="I50" s="6"/>
      <c r="J50" s="5"/>
      <c r="K50" s="5"/>
      <c r="L50" s="6"/>
      <c r="M50" s="5"/>
      <c r="N50" s="5"/>
      <c r="O50" s="6"/>
      <c r="P50" s="5"/>
      <c r="Q50" s="5"/>
      <c r="R50" s="6"/>
      <c r="S50" s="5"/>
      <c r="T50" s="5"/>
      <c r="U50" s="6"/>
      <c r="V50" s="5"/>
      <c r="W50" s="5"/>
    </row>
    <row r="51" spans="1:23" s="3" customFormat="1" ht="14.5" customHeight="1" x14ac:dyDescent="0.55000000000000004">
      <c r="A51" s="94"/>
      <c r="B51" s="92"/>
      <c r="C51" s="1" t="s">
        <v>7</v>
      </c>
      <c r="D51" s="1" t="s">
        <v>34</v>
      </c>
      <c r="E51" s="46" t="s">
        <v>1</v>
      </c>
      <c r="F51" s="38">
        <f>INDEX(tbl_material[],MATCH(F$11,tbl_material[material],0),MATCH(RP_wood!$F$5,tbl_material[#Headers],0))</f>
        <v>1</v>
      </c>
      <c r="G51" s="5"/>
      <c r="H51" s="5"/>
      <c r="I51" s="38">
        <f>INDEX(tbl_material[],MATCH(I$11,tbl_material[material],0),MATCH(RP_wood!$F$5,tbl_material[#Headers],0))</f>
        <v>1</v>
      </c>
      <c r="J51" s="5"/>
      <c r="K51" s="5"/>
      <c r="L51" s="38">
        <f>INDEX(tbl_material[],MATCH(L$11,tbl_material[material],0),MATCH(RP_wood!$F$5,tbl_material[#Headers],0))</f>
        <v>1</v>
      </c>
      <c r="M51" s="5"/>
      <c r="N51" s="5"/>
      <c r="O51" s="38">
        <f>INDEX(tbl_material[],MATCH(O$11,tbl_material[material],0),MATCH(RP_wood!$F$5,tbl_material[#Headers],0))</f>
        <v>1</v>
      </c>
      <c r="P51" s="5"/>
      <c r="Q51" s="5"/>
      <c r="R51" s="38" t="e">
        <f>INDEX(tbl_material[],MATCH(R$11,tbl_material[material],0),MATCH(RP_wood!$F$5,tbl_material[#Headers],0))</f>
        <v>#N/A</v>
      </c>
      <c r="S51" s="5"/>
      <c r="T51" s="5"/>
      <c r="U51" s="38" t="e">
        <f>INDEX(tbl_material[],MATCH(U$11,tbl_material[material],0),MATCH(RP_wood!$F$5,tbl_material[#Headers],0))</f>
        <v>#N/A</v>
      </c>
      <c r="V51" s="5"/>
      <c r="W51" s="5"/>
    </row>
    <row r="52" spans="1:23" s="3" customFormat="1" ht="14.5" customHeight="1" x14ac:dyDescent="0.55000000000000004">
      <c r="A52" s="94"/>
      <c r="B52" s="92"/>
      <c r="C52" s="1" t="s">
        <v>33</v>
      </c>
      <c r="D52" s="1" t="s">
        <v>34</v>
      </c>
      <c r="E52" s="46" t="s">
        <v>1</v>
      </c>
      <c r="F52" s="4">
        <f>1-F51</f>
        <v>0</v>
      </c>
      <c r="G52" s="5"/>
      <c r="H52" s="5"/>
      <c r="I52" s="4">
        <f>1-I51</f>
        <v>0</v>
      </c>
      <c r="J52" s="5"/>
      <c r="K52" s="5"/>
      <c r="L52" s="4">
        <f>1-L51</f>
        <v>0</v>
      </c>
      <c r="M52" s="5"/>
      <c r="N52" s="5"/>
      <c r="O52" s="4">
        <f>1-O51</f>
        <v>0</v>
      </c>
      <c r="P52" s="5"/>
      <c r="Q52" s="5"/>
      <c r="R52" s="4" t="e">
        <f>1-R51</f>
        <v>#N/A</v>
      </c>
      <c r="S52" s="5"/>
      <c r="T52" s="5"/>
      <c r="U52" s="4" t="e">
        <f>1-U51</f>
        <v>#N/A</v>
      </c>
      <c r="V52" s="5"/>
      <c r="W52" s="5"/>
    </row>
    <row r="53" spans="1:23" s="3" customFormat="1" ht="14.5" customHeight="1" x14ac:dyDescent="0.55000000000000004">
      <c r="A53" s="94"/>
      <c r="B53" s="1"/>
      <c r="C53" s="1"/>
      <c r="D53" s="1"/>
      <c r="E53" s="46"/>
      <c r="F53" s="10"/>
      <c r="G53" s="5"/>
      <c r="H53" s="5"/>
      <c r="I53" s="10"/>
      <c r="J53" s="5"/>
      <c r="K53" s="5"/>
      <c r="L53" s="10"/>
      <c r="M53" s="5"/>
      <c r="N53" s="5"/>
      <c r="O53" s="10"/>
      <c r="P53" s="5"/>
      <c r="Q53" s="5"/>
      <c r="R53" s="10"/>
      <c r="S53" s="5"/>
      <c r="T53" s="5"/>
      <c r="U53" s="10"/>
      <c r="V53" s="5"/>
      <c r="W53" s="5"/>
    </row>
    <row r="54" spans="1:23" s="3" customFormat="1" ht="14.5" customHeight="1" x14ac:dyDescent="0.55000000000000004">
      <c r="A54" s="94"/>
      <c r="B54" s="92"/>
      <c r="C54" s="1" t="s">
        <v>57</v>
      </c>
      <c r="D54" s="1" t="s">
        <v>202</v>
      </c>
      <c r="E54" s="46" t="s">
        <v>2</v>
      </c>
      <c r="F54" s="38">
        <f>INDEX(tbl_material[],MATCH(F$11,tbl_material[material],0),MATCH(RP_wood!$C$54,tbl_material[#Headers],0))</f>
        <v>20</v>
      </c>
      <c r="G54" s="5"/>
      <c r="H54" s="5"/>
      <c r="I54" s="38">
        <f>INDEX(tbl_material[],MATCH(I$11,tbl_material[material],0),MATCH(RP_wood!$C$54,tbl_material[#Headers],0))</f>
        <v>20</v>
      </c>
      <c r="J54" s="5"/>
      <c r="K54" s="5"/>
      <c r="L54" s="38">
        <f>INDEX(tbl_material[],MATCH(L$11,tbl_material[material],0),MATCH(RP_wood!$C$54,tbl_material[#Headers],0))</f>
        <v>20</v>
      </c>
      <c r="M54" s="5"/>
      <c r="N54" s="5"/>
      <c r="O54" s="38">
        <f>INDEX(tbl_material[],MATCH(O$11,tbl_material[material],0),MATCH(RP_wood!$C$54,tbl_material[#Headers],0))</f>
        <v>20</v>
      </c>
      <c r="P54" s="5"/>
      <c r="Q54" s="5"/>
      <c r="R54" s="38" t="e">
        <f>INDEX(tbl_material[],MATCH(R$11,tbl_material[material],0),MATCH(RP_wood!$C$54,tbl_material[#Headers],0))</f>
        <v>#N/A</v>
      </c>
      <c r="S54" s="5"/>
      <c r="T54" s="5"/>
      <c r="U54" s="38" t="e">
        <f>INDEX(tbl_material[],MATCH(U$11,tbl_material[material],0),MATCH(RP_wood!$C$54,tbl_material[#Headers],0))</f>
        <v>#N/A</v>
      </c>
      <c r="V54" s="5"/>
      <c r="W54" s="5"/>
    </row>
    <row r="55" spans="1:23" s="3" customFormat="1" ht="14.5" customHeight="1" x14ac:dyDescent="0.55000000000000004">
      <c r="A55" s="94"/>
      <c r="B55" s="92"/>
      <c r="C55" s="1" t="s">
        <v>58</v>
      </c>
      <c r="D55" s="1" t="s">
        <v>24</v>
      </c>
      <c r="E55" s="46" t="s">
        <v>1</v>
      </c>
      <c r="F55" s="38">
        <f>INDEX(tbl_material[],MATCH(F$11,tbl_material[material],0),MATCH(RP_wood!$C$55,tbl_material[#Headers],0))</f>
        <v>0.1</v>
      </c>
      <c r="G55" s="5"/>
      <c r="H55" s="5"/>
      <c r="I55" s="38">
        <f>INDEX(tbl_material[],MATCH(I$11,tbl_material[material],0),MATCH(RP_wood!$C$55,tbl_material[#Headers],0))</f>
        <v>0.1</v>
      </c>
      <c r="J55" s="5"/>
      <c r="K55" s="5"/>
      <c r="L55" s="38">
        <f>INDEX(tbl_material[],MATCH(L$11,tbl_material[material],0),MATCH(RP_wood!$C$55,tbl_material[#Headers],0))</f>
        <v>0.1</v>
      </c>
      <c r="M55" s="5"/>
      <c r="N55" s="5"/>
      <c r="O55" s="38">
        <f>INDEX(tbl_material[],MATCH(O$11,tbl_material[material],0),MATCH(RP_wood!$C$55,tbl_material[#Headers],0))</f>
        <v>0.1</v>
      </c>
      <c r="P55" s="5"/>
      <c r="Q55" s="5"/>
      <c r="R55" s="38" t="e">
        <f>INDEX(tbl_material[],MATCH(R$11,tbl_material[material],0),MATCH(RP_wood!$C$55,tbl_material[#Headers],0))</f>
        <v>#N/A</v>
      </c>
      <c r="S55" s="5"/>
      <c r="T55" s="5"/>
      <c r="U55" s="38" t="e">
        <f>INDEX(tbl_material[],MATCH(U$11,tbl_material[material],0),MATCH(RP_wood!$C$55,tbl_material[#Headers],0))</f>
        <v>#N/A</v>
      </c>
      <c r="V55" s="5"/>
      <c r="W55" s="5"/>
    </row>
    <row r="56" spans="1:23" s="3" customFormat="1" ht="14.5" customHeight="1" x14ac:dyDescent="0.55000000000000004">
      <c r="A56" s="94"/>
      <c r="B56" s="92"/>
      <c r="C56" s="1" t="s">
        <v>58</v>
      </c>
      <c r="D56" s="1" t="s">
        <v>25</v>
      </c>
      <c r="E56" s="46" t="s">
        <v>2</v>
      </c>
      <c r="F56" s="4">
        <f>F54*F55</f>
        <v>2</v>
      </c>
      <c r="G56" s="5"/>
      <c r="H56" s="5"/>
      <c r="I56" s="4">
        <f>I54*I55</f>
        <v>2</v>
      </c>
      <c r="J56" s="5"/>
      <c r="K56" s="5"/>
      <c r="L56" s="4">
        <f>L54*L55</f>
        <v>2</v>
      </c>
      <c r="M56" s="5"/>
      <c r="N56" s="5"/>
      <c r="O56" s="4">
        <f>O54*O55</f>
        <v>2</v>
      </c>
      <c r="P56" s="5"/>
      <c r="Q56" s="5"/>
      <c r="R56" s="4" t="e">
        <f>R54*R55</f>
        <v>#N/A</v>
      </c>
      <c r="S56" s="5"/>
      <c r="T56" s="5"/>
      <c r="U56" s="4" t="e">
        <f>U54*U55</f>
        <v>#N/A</v>
      </c>
      <c r="V56" s="5"/>
      <c r="W56" s="5"/>
    </row>
    <row r="57" spans="1:23" s="3" customFormat="1" ht="14.5" customHeight="1" x14ac:dyDescent="0.55000000000000004">
      <c r="A57" s="94"/>
      <c r="B57" s="92"/>
      <c r="C57" s="1" t="s">
        <v>23</v>
      </c>
      <c r="D57" s="1" t="s">
        <v>25</v>
      </c>
      <c r="E57" s="46" t="s">
        <v>2</v>
      </c>
      <c r="F57" s="4">
        <f>F54*(1+F55)</f>
        <v>22</v>
      </c>
      <c r="G57" s="5"/>
      <c r="H57" s="5"/>
      <c r="I57" s="4">
        <f>I54*(1+I55)</f>
        <v>22</v>
      </c>
      <c r="J57" s="5"/>
      <c r="K57" s="5"/>
      <c r="L57" s="4">
        <f>L54*(1+L55)</f>
        <v>22</v>
      </c>
      <c r="M57" s="5"/>
      <c r="N57" s="5"/>
      <c r="O57" s="4">
        <f>O54*(1+O55)</f>
        <v>22</v>
      </c>
      <c r="P57" s="5"/>
      <c r="Q57" s="5"/>
      <c r="R57" s="4" t="e">
        <f>R54*(1+R55)</f>
        <v>#N/A</v>
      </c>
      <c r="S57" s="5"/>
      <c r="T57" s="5"/>
      <c r="U57" s="4" t="e">
        <f>U54*(1+U55)</f>
        <v>#N/A</v>
      </c>
      <c r="V57" s="5"/>
      <c r="W57" s="5"/>
    </row>
    <row r="58" spans="1:23" s="3" customFormat="1" ht="14.5" customHeight="1" x14ac:dyDescent="0.55000000000000004">
      <c r="A58" s="94"/>
      <c r="B58" s="1"/>
      <c r="C58" s="1"/>
      <c r="D58" s="1"/>
      <c r="E58" s="46"/>
      <c r="F58" s="4"/>
      <c r="G58" s="5"/>
      <c r="H58" s="5"/>
      <c r="I58" s="4"/>
      <c r="J58" s="5"/>
      <c r="K58" s="5"/>
      <c r="L58" s="4"/>
      <c r="M58" s="5"/>
      <c r="N58" s="5"/>
      <c r="O58" s="4"/>
      <c r="P58" s="5"/>
      <c r="Q58" s="5"/>
      <c r="R58" s="4"/>
      <c r="S58" s="5"/>
      <c r="T58" s="5"/>
      <c r="U58" s="4"/>
      <c r="V58" s="5"/>
      <c r="W58" s="5"/>
    </row>
    <row r="59" spans="1:23" s="3" customFormat="1" ht="14.5" customHeight="1" x14ac:dyDescent="0.55000000000000004">
      <c r="A59" s="94"/>
      <c r="B59" s="92"/>
      <c r="C59" s="1" t="s">
        <v>8</v>
      </c>
      <c r="D59" s="1" t="s">
        <v>59</v>
      </c>
      <c r="E59" s="46" t="s">
        <v>1</v>
      </c>
      <c r="F59" s="38">
        <f>INDEX(tbl_material[],MATCH(F$11,tbl_material[material],0),MATCH(RP_wood!$C$59,tbl_material[#Headers],0))</f>
        <v>1</v>
      </c>
      <c r="G59" s="5"/>
      <c r="H59" s="5"/>
      <c r="I59" s="38">
        <f>INDEX(tbl_material[],MATCH(I$11,tbl_material[material],0),MATCH(RP_wood!$C$59,tbl_material[#Headers],0))</f>
        <v>1</v>
      </c>
      <c r="J59" s="5"/>
      <c r="K59" s="5"/>
      <c r="L59" s="38">
        <f>INDEX(tbl_material[],MATCH(L$11,tbl_material[material],0),MATCH(RP_wood!$C$59,tbl_material[#Headers],0))</f>
        <v>1</v>
      </c>
      <c r="M59" s="5"/>
      <c r="N59" s="5"/>
      <c r="O59" s="38">
        <f>INDEX(tbl_material[],MATCH(O$11,tbl_material[material],0),MATCH(RP_wood!$C$59,tbl_material[#Headers],0))</f>
        <v>1</v>
      </c>
      <c r="P59" s="5"/>
      <c r="Q59" s="5"/>
      <c r="R59" s="38" t="e">
        <f>INDEX(tbl_material[],MATCH(R$11,tbl_material[material],0),MATCH(RP_wood!$C$59,tbl_material[#Headers],0))</f>
        <v>#N/A</v>
      </c>
      <c r="S59" s="5"/>
      <c r="T59" s="5"/>
      <c r="U59" s="38" t="e">
        <f>INDEX(tbl_material[],MATCH(U$11,tbl_material[material],0),MATCH(RP_wood!$C$59,tbl_material[#Headers],0))</f>
        <v>#N/A</v>
      </c>
      <c r="V59" s="5"/>
      <c r="W59" s="5"/>
    </row>
    <row r="60" spans="1:23" s="3" customFormat="1" ht="14.5" customHeight="1" x14ac:dyDescent="0.55000000000000004">
      <c r="A60" s="94"/>
      <c r="B60" s="92"/>
      <c r="C60" s="1" t="s">
        <v>9</v>
      </c>
      <c r="D60" s="1" t="s">
        <v>60</v>
      </c>
      <c r="E60" s="46" t="s">
        <v>1</v>
      </c>
      <c r="F60" s="38">
        <f>INDEX(tbl_material[],MATCH(F$11,tbl_material[material],0),MATCH(RP_wood!$C$60,tbl_material[#Headers],0))</f>
        <v>0.9</v>
      </c>
      <c r="G60" s="5"/>
      <c r="H60" s="5"/>
      <c r="I60" s="38">
        <f>INDEX(tbl_material[],MATCH(I$11,tbl_material[material],0),MATCH(RP_wood!$C$60,tbl_material[#Headers],0))</f>
        <v>0.9</v>
      </c>
      <c r="J60" s="5"/>
      <c r="K60" s="5"/>
      <c r="L60" s="38">
        <f>INDEX(tbl_material[],MATCH(L$11,tbl_material[material],0),MATCH(RP_wood!$C$60,tbl_material[#Headers],0))</f>
        <v>0.9</v>
      </c>
      <c r="M60" s="5"/>
      <c r="N60" s="5"/>
      <c r="O60" s="38">
        <v>0</v>
      </c>
      <c r="P60" s="5"/>
      <c r="Q60" s="5"/>
      <c r="R60" s="38" t="e">
        <f>INDEX(tbl_material[],MATCH(R$11,tbl_material[material],0),MATCH(RP_wood!$C$60,tbl_material[#Headers],0))</f>
        <v>#N/A</v>
      </c>
      <c r="S60" s="5"/>
      <c r="T60" s="5"/>
      <c r="U60" s="38" t="e">
        <f>INDEX(tbl_material[],MATCH(U$11,tbl_material[material],0),MATCH(RP_wood!$C$60,tbl_material[#Headers],0))</f>
        <v>#N/A</v>
      </c>
      <c r="V60" s="5"/>
      <c r="W60" s="5"/>
    </row>
    <row r="61" spans="1:23" s="3" customFormat="1" ht="14.5" customHeight="1" x14ac:dyDescent="0.55000000000000004">
      <c r="A61" s="94"/>
      <c r="B61" s="92"/>
      <c r="C61" s="1" t="s">
        <v>62</v>
      </c>
      <c r="D61" s="1" t="s">
        <v>60</v>
      </c>
      <c r="E61" s="46" t="s">
        <v>1</v>
      </c>
      <c r="F61" s="38">
        <f>INDEX(tbl_material[],MATCH(F$11,tbl_material[material],0),MATCH(RP_wood!$C$61,tbl_material[#Headers],0))</f>
        <v>0</v>
      </c>
      <c r="G61" s="5"/>
      <c r="H61" s="5"/>
      <c r="I61" s="38">
        <f>INDEX(tbl_material[],MATCH(I$11,tbl_material[material],0),MATCH(RP_wood!$C$61,tbl_material[#Headers],0))</f>
        <v>0</v>
      </c>
      <c r="J61" s="5"/>
      <c r="K61" s="5"/>
      <c r="L61" s="38">
        <f>INDEX(tbl_material[],MATCH(L$11,tbl_material[material],0),MATCH(RP_wood!$C$61,tbl_material[#Headers],0))</f>
        <v>0</v>
      </c>
      <c r="M61" s="5"/>
      <c r="N61" s="5"/>
      <c r="O61" s="38">
        <f>INDEX(tbl_material[],MATCH(O$11,tbl_material[material],0),MATCH(RP_wood!$C$61,tbl_material[#Headers],0))</f>
        <v>0</v>
      </c>
      <c r="P61" s="5"/>
      <c r="Q61" s="5"/>
      <c r="R61" s="38" t="e">
        <f>INDEX(tbl_material[],MATCH(R$11,tbl_material[material],0),MATCH(RP_wood!$C$61,tbl_material[#Headers],0))</f>
        <v>#N/A</v>
      </c>
      <c r="S61" s="5"/>
      <c r="T61" s="5"/>
      <c r="U61" s="38" t="e">
        <f>INDEX(tbl_material[],MATCH(U$11,tbl_material[material],0),MATCH(RP_wood!$C$61,tbl_material[#Headers],0))</f>
        <v>#N/A</v>
      </c>
      <c r="V61" s="5"/>
      <c r="W61" s="5"/>
    </row>
    <row r="62" spans="1:23" s="3" customFormat="1" ht="14.5" customHeight="1" x14ac:dyDescent="0.55000000000000004">
      <c r="A62" s="94"/>
      <c r="B62" s="92"/>
      <c r="C62" s="1" t="s">
        <v>22</v>
      </c>
      <c r="D62" s="1" t="s">
        <v>60</v>
      </c>
      <c r="E62" s="46" t="s">
        <v>1</v>
      </c>
      <c r="F62" s="4">
        <f>1-F59+F59*(1-F60-F61)</f>
        <v>9.9999999999999978E-2</v>
      </c>
      <c r="G62" s="5"/>
      <c r="H62" s="5"/>
      <c r="I62" s="4">
        <f>1-I59+I59*(1-I60-I61)</f>
        <v>9.9999999999999978E-2</v>
      </c>
      <c r="J62" s="5"/>
      <c r="K62" s="5"/>
      <c r="L62" s="4">
        <f>1-L59+L59*(1-L60-L61)</f>
        <v>9.9999999999999978E-2</v>
      </c>
      <c r="M62" s="5"/>
      <c r="N62" s="5"/>
      <c r="O62" s="4">
        <f>1-O59+O59*(1-O60-O61)</f>
        <v>1</v>
      </c>
      <c r="P62" s="5"/>
      <c r="Q62" s="5"/>
      <c r="R62" s="4" t="e">
        <f>1-R59+R59*(1-R60-R61)</f>
        <v>#N/A</v>
      </c>
      <c r="S62" s="5"/>
      <c r="T62" s="5"/>
      <c r="U62" s="4" t="e">
        <f>1-U59+U59*(1-U60-U61)</f>
        <v>#N/A</v>
      </c>
      <c r="V62" s="5"/>
      <c r="W62" s="5"/>
    </row>
    <row r="63" spans="1:23" s="3" customFormat="1" ht="14.5" customHeight="1" x14ac:dyDescent="0.55000000000000004">
      <c r="A63" s="94"/>
      <c r="B63" s="1"/>
      <c r="C63" s="1"/>
      <c r="D63" s="1"/>
      <c r="E63" s="46"/>
      <c r="F63" s="4"/>
      <c r="G63" s="5"/>
      <c r="H63" s="5"/>
      <c r="I63" s="4"/>
      <c r="J63" s="5"/>
      <c r="K63" s="5"/>
      <c r="L63" s="4"/>
      <c r="M63" s="5"/>
      <c r="N63" s="5"/>
      <c r="O63" s="4"/>
      <c r="P63" s="5"/>
      <c r="Q63" s="5"/>
      <c r="R63" s="4"/>
      <c r="S63" s="5"/>
      <c r="T63" s="5"/>
      <c r="U63" s="4"/>
      <c r="V63" s="5"/>
      <c r="W63" s="5"/>
    </row>
    <row r="64" spans="1:23" s="3" customFormat="1" ht="14.5" customHeight="1" x14ac:dyDescent="0.55000000000000004">
      <c r="A64" s="94"/>
      <c r="B64" s="92"/>
      <c r="C64" s="1" t="s">
        <v>8</v>
      </c>
      <c r="D64" s="1" t="s">
        <v>20</v>
      </c>
      <c r="E64" s="46" t="s">
        <v>1</v>
      </c>
      <c r="F64" s="38">
        <f>INDEX(tbl_material[],MATCH(F$11,tbl_material[material],0),MATCH(RP_wood!$F$6,tbl_material[#Headers],0))</f>
        <v>1</v>
      </c>
      <c r="G64" s="5"/>
      <c r="H64" s="5"/>
      <c r="I64" s="38">
        <f>INDEX(tbl_material[],MATCH(I$11,tbl_material[material],0),MATCH(RP_wood!$I$6,tbl_material[#Headers],0))</f>
        <v>1</v>
      </c>
      <c r="J64" s="5"/>
      <c r="K64" s="5"/>
      <c r="L64" s="38">
        <f>INDEX(tbl_material[],MATCH(L$11,tbl_material[material],0),MATCH(RP_wood!$I$6,tbl_material[#Headers],0))</f>
        <v>1</v>
      </c>
      <c r="M64" s="5"/>
      <c r="N64" s="5"/>
      <c r="O64" s="38">
        <f>INDEX(tbl_material[],MATCH(O$11,tbl_material[material],0),MATCH(RP_wood!$I$6,tbl_material[#Headers],0))</f>
        <v>1</v>
      </c>
      <c r="P64" s="5"/>
      <c r="Q64" s="5"/>
      <c r="R64" s="38" t="e">
        <f>INDEX(tbl_material[],MATCH(R$11,tbl_material[material],0),MATCH(RP_wood!$I$6,tbl_material[#Headers],0))</f>
        <v>#N/A</v>
      </c>
      <c r="S64" s="5"/>
      <c r="T64" s="5"/>
      <c r="U64" s="38" t="e">
        <f>INDEX(tbl_material[],MATCH(U$11,tbl_material[material],0),MATCH(RP_wood!$I$6,tbl_material[#Headers],0))</f>
        <v>#N/A</v>
      </c>
      <c r="V64" s="5"/>
      <c r="W64" s="5"/>
    </row>
    <row r="65" spans="1:23" s="3" customFormat="1" ht="14.5" customHeight="1" x14ac:dyDescent="0.55000000000000004">
      <c r="A65" s="94"/>
      <c r="B65" s="92"/>
      <c r="C65" s="1" t="s">
        <v>9</v>
      </c>
      <c r="D65" s="1" t="s">
        <v>61</v>
      </c>
      <c r="E65" s="46" t="s">
        <v>1</v>
      </c>
      <c r="F65" s="38">
        <f>INDEX(tbl_material[],MATCH(F$11,tbl_material[material],0),MATCH(RP_wood!$C$65,tbl_material[#Headers],0))</f>
        <v>0.9</v>
      </c>
      <c r="G65" s="5"/>
      <c r="H65" s="5"/>
      <c r="I65" s="38">
        <f>INDEX(tbl_material[],MATCH(I$11,tbl_material[material],0),MATCH(RP_wood!$C$65,tbl_material[#Headers],0))</f>
        <v>0.9</v>
      </c>
      <c r="J65" s="5"/>
      <c r="K65" s="5"/>
      <c r="L65" s="38">
        <f>INDEX(tbl_material[],MATCH(L$11,tbl_material[material],0),MATCH(RP_wood!$C$65,tbl_material[#Headers],0))</f>
        <v>0.9</v>
      </c>
      <c r="M65" s="5"/>
      <c r="N65" s="5"/>
      <c r="O65" s="38">
        <v>0</v>
      </c>
      <c r="P65" s="5"/>
      <c r="Q65" s="5"/>
      <c r="R65" s="38" t="e">
        <f>INDEX(tbl_material[],MATCH(R$11,tbl_material[material],0),MATCH(RP_wood!$C$65,tbl_material[#Headers],0))</f>
        <v>#N/A</v>
      </c>
      <c r="S65" s="5"/>
      <c r="T65" s="5"/>
      <c r="U65" s="38" t="e">
        <f>INDEX(tbl_material[],MATCH(U$11,tbl_material[material],0),MATCH(RP_wood!$C$65,tbl_material[#Headers],0))</f>
        <v>#N/A</v>
      </c>
      <c r="V65" s="5"/>
      <c r="W65" s="5"/>
    </row>
    <row r="66" spans="1:23" s="3" customFormat="1" ht="14.5" customHeight="1" x14ac:dyDescent="0.55000000000000004">
      <c r="A66" s="94"/>
      <c r="B66" s="92"/>
      <c r="C66" s="1" t="s">
        <v>62</v>
      </c>
      <c r="D66" s="1" t="s">
        <v>61</v>
      </c>
      <c r="E66" s="46" t="s">
        <v>1</v>
      </c>
      <c r="F66" s="38">
        <f>INDEX(tbl_material[],MATCH(F$11,tbl_material[material],0),MATCH(RP_wood!$C$66,tbl_material[#Headers],0))</f>
        <v>0</v>
      </c>
      <c r="G66" s="5"/>
      <c r="H66" s="5"/>
      <c r="I66" s="38">
        <f>INDEX(tbl_material[],MATCH(I$11,tbl_material[material],0),MATCH(RP_wood!$C$66,tbl_material[#Headers],0))</f>
        <v>0</v>
      </c>
      <c r="J66" s="5"/>
      <c r="K66" s="5"/>
      <c r="L66" s="38">
        <f>INDEX(tbl_material[],MATCH(L$11,tbl_material[material],0),MATCH(RP_wood!$C$66,tbl_material[#Headers],0))</f>
        <v>0</v>
      </c>
      <c r="M66" s="5"/>
      <c r="N66" s="5"/>
      <c r="O66" s="38">
        <f>INDEX(tbl_material[],MATCH(O$11,tbl_material[material],0),MATCH(RP_wood!$C$66,tbl_material[#Headers],0))</f>
        <v>0</v>
      </c>
      <c r="P66" s="5"/>
      <c r="Q66" s="5"/>
      <c r="R66" s="38" t="e">
        <f>INDEX(tbl_material[],MATCH(R$11,tbl_material[material],0),MATCH(RP_wood!$C$66,tbl_material[#Headers],0))</f>
        <v>#N/A</v>
      </c>
      <c r="S66" s="5"/>
      <c r="T66" s="5"/>
      <c r="U66" s="38" t="e">
        <f>INDEX(tbl_material[],MATCH(U$11,tbl_material[material],0),MATCH(RP_wood!$C$66,tbl_material[#Headers],0))</f>
        <v>#N/A</v>
      </c>
      <c r="V66" s="5"/>
      <c r="W66" s="5"/>
    </row>
    <row r="67" spans="1:23" s="3" customFormat="1" ht="14.5" customHeight="1" x14ac:dyDescent="0.55000000000000004">
      <c r="A67" s="94"/>
      <c r="B67" s="92"/>
      <c r="C67" s="1" t="s">
        <v>22</v>
      </c>
      <c r="D67" s="1" t="s">
        <v>61</v>
      </c>
      <c r="E67" s="46" t="s">
        <v>1</v>
      </c>
      <c r="F67" s="4">
        <f>1-F64+F64*(1-F65-F66)</f>
        <v>9.9999999999999978E-2</v>
      </c>
      <c r="G67" s="5"/>
      <c r="H67" s="5"/>
      <c r="I67" s="4">
        <f>1-I64+I64*(1-I65-I66)</f>
        <v>9.9999999999999978E-2</v>
      </c>
      <c r="J67" s="5"/>
      <c r="K67" s="5"/>
      <c r="L67" s="4">
        <f>1-L64+L64*(1-L65-L66)</f>
        <v>9.9999999999999978E-2</v>
      </c>
      <c r="M67" s="5"/>
      <c r="N67" s="5"/>
      <c r="O67" s="4">
        <f>1-O64+O64*(1-O65-O66)</f>
        <v>1</v>
      </c>
      <c r="P67" s="5"/>
      <c r="Q67" s="5"/>
      <c r="R67" s="4" t="e">
        <f>1-R64+R64*(1-R65-R66)</f>
        <v>#N/A</v>
      </c>
      <c r="S67" s="5"/>
      <c r="T67" s="5"/>
      <c r="U67" s="4" t="e">
        <f>1-U64+U64*(1-U65-U66)</f>
        <v>#N/A</v>
      </c>
      <c r="V67" s="5"/>
      <c r="W67" s="5"/>
    </row>
    <row r="68" spans="1:23" s="3" customFormat="1" ht="14.5" customHeight="1" x14ac:dyDescent="0.55000000000000004">
      <c r="A68" s="94"/>
      <c r="B68" s="1"/>
      <c r="C68" s="1"/>
      <c r="D68" s="1"/>
      <c r="E68" s="46"/>
      <c r="F68" s="4"/>
      <c r="G68" s="5"/>
      <c r="H68" s="5"/>
      <c r="I68" s="4"/>
      <c r="J68" s="5"/>
      <c r="K68" s="5"/>
      <c r="L68" s="4"/>
      <c r="M68" s="5"/>
      <c r="N68" s="5"/>
      <c r="O68" s="4"/>
      <c r="P68" s="5"/>
      <c r="Q68" s="5"/>
      <c r="R68" s="4"/>
      <c r="S68" s="5"/>
      <c r="T68" s="5"/>
      <c r="U68" s="4"/>
      <c r="V68" s="5"/>
      <c r="W68" s="5"/>
    </row>
    <row r="69" spans="1:23" s="3" customFormat="1" ht="14.5" customHeight="1" x14ac:dyDescent="0.55000000000000004">
      <c r="A69" s="94"/>
      <c r="B69" s="92"/>
      <c r="C69" s="1" t="s">
        <v>5</v>
      </c>
      <c r="D69" s="1" t="s">
        <v>35</v>
      </c>
      <c r="E69" s="46" t="s">
        <v>1</v>
      </c>
      <c r="F69" s="11">
        <f>(F59*F60*F55+F64*F65)/(1+F55)</f>
        <v>0.89999999999999991</v>
      </c>
      <c r="G69" s="5"/>
      <c r="H69" s="5"/>
      <c r="I69" s="11">
        <f>(I59*I60*I55+I64*I65)/(1+I55)</f>
        <v>0.89999999999999991</v>
      </c>
      <c r="J69" s="5"/>
      <c r="K69" s="5"/>
      <c r="L69" s="11">
        <f>(L59*L60*L55+L64*L65)/(1+L55)</f>
        <v>0.89999999999999991</v>
      </c>
      <c r="M69" s="5"/>
      <c r="N69" s="5"/>
      <c r="O69" s="11">
        <v>0</v>
      </c>
      <c r="P69" s="5"/>
      <c r="Q69" s="5"/>
      <c r="R69" s="11" t="e">
        <f>(R59*R60*R55+R64*R65)/(1+R55)</f>
        <v>#N/A</v>
      </c>
      <c r="S69" s="5"/>
      <c r="T69" s="5"/>
      <c r="U69" s="11" t="e">
        <f>(U59*U60*U55+U64*U65)/(1+U55)</f>
        <v>#N/A</v>
      </c>
      <c r="V69" s="5"/>
      <c r="W69" s="5"/>
    </row>
    <row r="70" spans="1:23" s="3" customFormat="1" ht="14.5" customHeight="1" x14ac:dyDescent="0.55000000000000004">
      <c r="A70" s="94"/>
      <c r="B70" s="92"/>
      <c r="C70" s="1" t="s">
        <v>4</v>
      </c>
      <c r="D70" s="1" t="s">
        <v>35</v>
      </c>
      <c r="E70" s="46" t="s">
        <v>1</v>
      </c>
      <c r="F70" s="11">
        <f>(F59*F61*F55+F64*F66)/(1+F55)</f>
        <v>0</v>
      </c>
      <c r="G70" s="5"/>
      <c r="H70" s="5"/>
      <c r="I70" s="11">
        <f>(I59*I61*I55+I64*I66)/(1+I55)</f>
        <v>0</v>
      </c>
      <c r="J70" s="5"/>
      <c r="K70" s="5"/>
      <c r="L70" s="11">
        <f>(L59*L61*L55+L64*L66)/(1+L55)</f>
        <v>0</v>
      </c>
      <c r="M70" s="5"/>
      <c r="N70" s="5"/>
      <c r="O70" s="11">
        <f>(O59*O61*O55+O64*O66)/(1+O55)</f>
        <v>0</v>
      </c>
      <c r="P70" s="5"/>
      <c r="Q70" s="5"/>
      <c r="R70" s="11" t="e">
        <f>(R59*R61*R55+R64*R66)/(1+R55)</f>
        <v>#N/A</v>
      </c>
      <c r="S70" s="5"/>
      <c r="T70" s="5"/>
      <c r="U70" s="11" t="e">
        <f>(U59*U61*U55+U64*U66)/(1+U55)</f>
        <v>#N/A</v>
      </c>
      <c r="V70" s="5"/>
      <c r="W70" s="5"/>
    </row>
    <row r="71" spans="1:23" s="3" customFormat="1" ht="14.5" customHeight="1" x14ac:dyDescent="0.55000000000000004">
      <c r="A71" s="94"/>
      <c r="B71" s="92"/>
      <c r="C71" s="1" t="s">
        <v>6</v>
      </c>
      <c r="D71" s="1" t="s">
        <v>35</v>
      </c>
      <c r="E71" s="46" t="s">
        <v>1</v>
      </c>
      <c r="F71" s="4">
        <f>1-F69-F70</f>
        <v>0.10000000000000009</v>
      </c>
      <c r="G71" s="5"/>
      <c r="H71" s="5"/>
      <c r="I71" s="4">
        <f>1-I69-I70</f>
        <v>0.10000000000000009</v>
      </c>
      <c r="J71" s="5"/>
      <c r="K71" s="5"/>
      <c r="L71" s="4">
        <f>1-L69-L70</f>
        <v>0.10000000000000009</v>
      </c>
      <c r="M71" s="5"/>
      <c r="N71" s="5"/>
      <c r="O71" s="4">
        <v>1</v>
      </c>
      <c r="P71" s="5"/>
      <c r="Q71" s="5"/>
      <c r="R71" s="4" t="e">
        <f>1-R69-R70</f>
        <v>#N/A</v>
      </c>
      <c r="S71" s="5"/>
      <c r="T71" s="5"/>
      <c r="U71" s="4" t="e">
        <f>1-U69-U70</f>
        <v>#N/A</v>
      </c>
      <c r="V71" s="5"/>
      <c r="W71" s="5"/>
    </row>
    <row r="72" spans="1:23" s="3" customFormat="1" ht="14.5" customHeight="1" x14ac:dyDescent="0.55000000000000004">
      <c r="A72" s="94"/>
      <c r="B72" s="1"/>
      <c r="C72" s="1"/>
      <c r="D72" s="1"/>
      <c r="E72" s="46"/>
      <c r="F72" s="1"/>
      <c r="G72" s="5"/>
      <c r="H72" s="5"/>
      <c r="I72" s="1"/>
      <c r="J72" s="5"/>
      <c r="K72" s="5"/>
      <c r="L72" s="1"/>
      <c r="M72" s="5"/>
      <c r="N72" s="5"/>
      <c r="O72" s="1"/>
      <c r="P72" s="5"/>
      <c r="Q72" s="5"/>
      <c r="R72" s="1"/>
      <c r="S72" s="5"/>
      <c r="T72" s="5"/>
      <c r="U72" s="1"/>
      <c r="V72" s="5"/>
      <c r="W72" s="5"/>
    </row>
    <row r="73" spans="1:23" s="3" customFormat="1" ht="14.5" customHeight="1" x14ac:dyDescent="0.65">
      <c r="A73" s="94"/>
      <c r="B73" s="9" t="s">
        <v>31</v>
      </c>
      <c r="C73" s="3" t="s">
        <v>43</v>
      </c>
      <c r="D73" s="3" t="s">
        <v>38</v>
      </c>
      <c r="E73" s="25" t="s">
        <v>1</v>
      </c>
      <c r="F73" s="6">
        <f>(0.5*F54/F49)*(1+F55)*(1/lifetime_wood)*(1+F51*(1-F69)-F69-F70)</f>
        <v>2.0298830632284325E-13</v>
      </c>
      <c r="G73" s="5"/>
      <c r="H73" s="5"/>
      <c r="I73" s="6">
        <f>(0.5*I54/I49)*(1+I55)*(1/lifetime_wood)*(1+I51*(1-I69)-I69-I70)</f>
        <v>2.0298830632284325E-13</v>
      </c>
      <c r="J73" s="5"/>
      <c r="K73" s="5"/>
      <c r="L73" s="6">
        <f>(0.5*L54/L49)*(1+L55)*(1/lifetime_wood)*(1+L51*(1-L69)-L69-L70)</f>
        <v>2.0298830632284325E-13</v>
      </c>
      <c r="M73" s="5"/>
      <c r="N73" s="5"/>
      <c r="O73" s="6">
        <f>(0.5*O54/O49)*(1+O55)*(1/lifetime_wood)*(1+O51*(1-O69)-O69-O70)</f>
        <v>2.0298830632284307E-12</v>
      </c>
      <c r="P73" s="5"/>
      <c r="Q73" s="5"/>
      <c r="R73" s="6" t="e">
        <f>(0.5*R54/R49)*(1+R55)*(1/lifetime_wood)*(1+R51*(1-R69)-R69-R70)</f>
        <v>#N/A</v>
      </c>
      <c r="S73" s="5"/>
      <c r="T73" s="5"/>
      <c r="U73" s="6" t="e">
        <f>(0.5*U54/U49)*(1+U55)*(1/lifetime_wood)*(1+U51*(1-U69)-U69-U70)</f>
        <v>#N/A</v>
      </c>
      <c r="V73" s="5"/>
      <c r="W73" s="5"/>
    </row>
    <row r="74" spans="1:23" s="3" customFormat="1" ht="14.5" customHeight="1" x14ac:dyDescent="0.65">
      <c r="A74" s="1"/>
      <c r="B74" s="9"/>
      <c r="E74" s="25"/>
      <c r="F74" s="6"/>
      <c r="G74" s="5"/>
      <c r="H74" s="5"/>
      <c r="I74" s="6"/>
      <c r="J74" s="5"/>
      <c r="K74" s="5"/>
      <c r="L74" s="6"/>
      <c r="M74" s="5"/>
      <c r="N74" s="5"/>
      <c r="O74" s="6"/>
      <c r="P74" s="5"/>
      <c r="Q74" s="5"/>
      <c r="R74" s="6"/>
      <c r="S74" s="5"/>
      <c r="T74" s="5"/>
      <c r="U74" s="6"/>
      <c r="V74" s="5"/>
      <c r="W74" s="5"/>
    </row>
    <row r="75" spans="1:23" customFormat="1" ht="14.5" customHeight="1" x14ac:dyDescent="0.65">
      <c r="A75" s="53"/>
      <c r="B75" s="9"/>
      <c r="C75" s="3"/>
      <c r="D75" s="1"/>
      <c r="E75" s="25"/>
      <c r="F75" s="6"/>
      <c r="G75" s="5"/>
      <c r="H75" s="5"/>
      <c r="I75" s="6"/>
      <c r="J75" s="5"/>
      <c r="K75" s="5"/>
      <c r="L75" s="6"/>
      <c r="M75" s="5"/>
      <c r="N75" s="5"/>
      <c r="O75" s="6"/>
      <c r="P75" s="5"/>
      <c r="Q75" s="5"/>
      <c r="R75" s="6"/>
      <c r="S75" s="5"/>
      <c r="T75" s="5"/>
      <c r="U75" s="6"/>
      <c r="V75" s="5"/>
      <c r="W75" s="5"/>
    </row>
    <row r="76" spans="1:23" customFormat="1" ht="14.5" customHeight="1" x14ac:dyDescent="0.55000000000000004">
      <c r="A76" s="91" t="s">
        <v>190</v>
      </c>
      <c r="B76" s="46" t="s">
        <v>46</v>
      </c>
      <c r="C76" s="1" t="s">
        <v>44</v>
      </c>
      <c r="D76" s="1" t="s">
        <v>139</v>
      </c>
      <c r="E76" s="46"/>
      <c r="F76" s="13" t="str">
        <f>INDEX(tbl_material[],MATCH(F$12,tbl_material[ERP identifier],0),MATCH(RP_wood!$D$76,tbl_material[#Headers],0))</f>
        <v>carbolineum</v>
      </c>
      <c r="G76" s="1"/>
      <c r="H76" s="1"/>
      <c r="I76" s="13" t="str">
        <f>INDEX(tbl_material[],MATCH(I$12,tbl_material[ERP identifier],0),MATCH(RP_wood!$D$76,tbl_material[#Headers],0))</f>
        <v>carbolineum</v>
      </c>
      <c r="J76" s="1"/>
      <c r="K76" s="1"/>
      <c r="L76" s="13" t="str">
        <f>INDEX(tbl_material[],MATCH(L$12,tbl_material[ERP identifier],0),MATCH(RP_wood!$D$76,tbl_material[#Headers],0))</f>
        <v>carbolineum</v>
      </c>
      <c r="M76" s="1"/>
      <c r="N76" s="1"/>
      <c r="O76" s="13" t="str">
        <f>INDEX(tbl_material[],MATCH(O$12,tbl_material[ERP identifier],0),MATCH(RP_wood!$D$76,tbl_material[#Headers],0))</f>
        <v>carbolineum</v>
      </c>
      <c r="P76" s="1"/>
      <c r="Q76" s="1"/>
      <c r="R76" s="13" t="e">
        <f>INDEX(tbl_material[],MATCH(R$12,tbl_material[ERP identifier],0),MATCH(RP_wood!$D$76,tbl_material[#Headers],0))</f>
        <v>#N/A</v>
      </c>
      <c r="S76" s="1"/>
      <c r="T76" s="1"/>
      <c r="U76" s="13" t="e">
        <f>INDEX(tbl_material[],MATCH(U$12,tbl_material[ERP identifier],0),MATCH(RP_wood!$D$76,tbl_material[#Headers],0))</f>
        <v>#N/A</v>
      </c>
      <c r="V76" s="1"/>
      <c r="W76" s="1"/>
    </row>
    <row r="77" spans="1:23" customFormat="1" ht="14.5" customHeight="1" x14ac:dyDescent="0.55000000000000004">
      <c r="A77" s="91"/>
      <c r="B77" s="25" t="s">
        <v>10</v>
      </c>
      <c r="C77" s="1" t="s">
        <v>26</v>
      </c>
      <c r="D77" s="1" t="s">
        <v>109</v>
      </c>
      <c r="E77" s="46" t="s">
        <v>3</v>
      </c>
      <c r="F77" s="5">
        <f>INDEX(tbl_ERP[],MATCH(F76,tbl_ERP[Identifier],0),MATCH(RP_wood!$D$77,tbl_ERP[#Headers],0))</f>
        <v>246854868186.05969</v>
      </c>
      <c r="G77" s="1"/>
      <c r="H77" s="1"/>
      <c r="I77" s="5">
        <f>INDEX(tbl_ERP[],MATCH(I76,tbl_ERP[Identifier],0),MATCH(RP_wood!$D$77,tbl_ERP[#Headers],0))</f>
        <v>246854868186.05969</v>
      </c>
      <c r="J77" s="1"/>
      <c r="K77" s="1"/>
      <c r="L77" s="5">
        <f>INDEX(tbl_ERP[],MATCH(L76,tbl_ERP[Identifier],0),MATCH(RP_wood!$D$77,tbl_ERP[#Headers],0))</f>
        <v>246854868186.05969</v>
      </c>
      <c r="M77" s="1"/>
      <c r="N77" s="1"/>
      <c r="O77" s="5">
        <f>INDEX(tbl_ERP[],MATCH(O76,tbl_ERP[Identifier],0),MATCH(RP_wood!$D$77,tbl_ERP[#Headers],0))</f>
        <v>246854868186.05969</v>
      </c>
      <c r="P77" s="1"/>
      <c r="Q77" s="1"/>
      <c r="R77" s="5" t="e">
        <f>INDEX(tbl_ERP[],MATCH(R76,tbl_ERP[Identifier],0),MATCH(RP_wood!$D$77,tbl_ERP[#Headers],0))</f>
        <v>#N/A</v>
      </c>
      <c r="S77" s="1"/>
      <c r="T77" s="1"/>
      <c r="U77" s="5" t="e">
        <f>INDEX(tbl_ERP[],MATCH(U76,tbl_ERP[Identifier],0),MATCH(RP_wood!$D$77,tbl_ERP[#Headers],0))</f>
        <v>#N/A</v>
      </c>
      <c r="V77" s="1"/>
      <c r="W77" s="1"/>
    </row>
    <row r="78" spans="1:23" customFormat="1" ht="14.5" customHeight="1" x14ac:dyDescent="0.55000000000000004">
      <c r="A78" s="91"/>
      <c r="B78" s="1"/>
      <c r="C78" s="1"/>
      <c r="D78" s="1"/>
      <c r="E78" s="46"/>
      <c r="F78" s="2"/>
      <c r="G78" s="1"/>
      <c r="H78" s="1"/>
      <c r="I78" s="2"/>
      <c r="J78" s="1"/>
      <c r="K78" s="1"/>
      <c r="L78" s="2"/>
      <c r="M78" s="1"/>
      <c r="N78" s="1"/>
      <c r="O78" s="2"/>
      <c r="P78" s="1"/>
      <c r="Q78" s="1"/>
      <c r="R78" s="2"/>
      <c r="S78" s="1"/>
      <c r="T78" s="1"/>
      <c r="U78" s="2"/>
      <c r="V78" s="1"/>
      <c r="W78" s="1"/>
    </row>
    <row r="79" spans="1:23" customFormat="1" ht="14.5" customHeight="1" x14ac:dyDescent="0.55000000000000004">
      <c r="A79" s="91"/>
      <c r="B79" s="92"/>
      <c r="C79" s="1" t="s">
        <v>7</v>
      </c>
      <c r="D79" s="1" t="s">
        <v>34</v>
      </c>
      <c r="E79" s="46" t="s">
        <v>1</v>
      </c>
      <c r="F79" s="38">
        <f>INDEX(tbl_material[],MATCH(F$12,tbl_material[material],0),MATCH(RP_wood!$F$5,tbl_material[#Headers],0))</f>
        <v>1</v>
      </c>
      <c r="G79" s="1"/>
      <c r="H79" s="1"/>
      <c r="I79" s="38">
        <f>INDEX(tbl_material[],MATCH(I$12,tbl_material[material],0),MATCH(RP_wood!$F$5,tbl_material[#Headers],0))</f>
        <v>1</v>
      </c>
      <c r="J79" s="1"/>
      <c r="K79" s="1"/>
      <c r="L79" s="38">
        <f>INDEX(tbl_material[],MATCH(L$12,tbl_material[material],0),MATCH(RP_wood!$F$5,tbl_material[#Headers],0))</f>
        <v>1</v>
      </c>
      <c r="M79" s="1"/>
      <c r="N79" s="1"/>
      <c r="O79" s="38">
        <f>INDEX(tbl_material[],MATCH(O$12,tbl_material[material],0),MATCH(RP_wood!$F$5,tbl_material[#Headers],0))</f>
        <v>1</v>
      </c>
      <c r="P79" s="1"/>
      <c r="Q79" s="1"/>
      <c r="R79" s="38" t="e">
        <f>INDEX(tbl_material[],MATCH(R$12,tbl_material[material],0),MATCH(RP_wood!$F$5,tbl_material[#Headers],0))</f>
        <v>#N/A</v>
      </c>
      <c r="S79" s="1"/>
      <c r="T79" s="1"/>
      <c r="U79" s="38" t="e">
        <f>INDEX(tbl_material[],MATCH(U$12,tbl_material[material],0),MATCH(RP_wood!$F$5,tbl_material[#Headers],0))</f>
        <v>#N/A</v>
      </c>
      <c r="V79" s="1"/>
      <c r="W79" s="1"/>
    </row>
    <row r="80" spans="1:23" customFormat="1" ht="14.5" customHeight="1" x14ac:dyDescent="0.55000000000000004">
      <c r="A80" s="91"/>
      <c r="B80" s="92"/>
      <c r="C80" s="1" t="s">
        <v>33</v>
      </c>
      <c r="D80" s="1" t="s">
        <v>34</v>
      </c>
      <c r="E80" s="46" t="s">
        <v>1</v>
      </c>
      <c r="F80" s="4">
        <f>1-F79</f>
        <v>0</v>
      </c>
      <c r="G80" s="4"/>
      <c r="H80" s="4"/>
      <c r="I80" s="4">
        <f>1-I79</f>
        <v>0</v>
      </c>
      <c r="J80" s="4"/>
      <c r="K80" s="4"/>
      <c r="L80" s="4">
        <f>1-L79</f>
        <v>0</v>
      </c>
      <c r="M80" s="4"/>
      <c r="N80" s="4"/>
      <c r="O80" s="4">
        <f>1-O79</f>
        <v>0</v>
      </c>
      <c r="P80" s="4"/>
      <c r="Q80" s="4"/>
      <c r="R80" s="4" t="e">
        <f>1-R79</f>
        <v>#N/A</v>
      </c>
      <c r="S80" s="4"/>
      <c r="T80" s="4"/>
      <c r="U80" s="4" t="e">
        <f>1-U79</f>
        <v>#N/A</v>
      </c>
      <c r="V80" s="4"/>
      <c r="W80" s="4"/>
    </row>
    <row r="81" spans="1:23" customFormat="1" ht="14.5" customHeight="1" x14ac:dyDescent="0.55000000000000004">
      <c r="A81" s="91"/>
      <c r="B81" s="1"/>
      <c r="C81" s="1"/>
      <c r="D81" s="1"/>
      <c r="E81" s="46"/>
      <c r="F81" s="10"/>
      <c r="G81" s="1"/>
      <c r="H81" s="1"/>
      <c r="I81" s="10"/>
      <c r="J81" s="1"/>
      <c r="K81" s="1"/>
      <c r="L81" s="10"/>
      <c r="M81" s="1"/>
      <c r="N81" s="1"/>
      <c r="O81" s="10"/>
      <c r="P81" s="1"/>
      <c r="Q81" s="1"/>
      <c r="R81" s="10"/>
      <c r="S81" s="1"/>
      <c r="T81" s="1"/>
      <c r="U81" s="10"/>
      <c r="V81" s="1"/>
      <c r="W81" s="1"/>
    </row>
    <row r="82" spans="1:23" customFormat="1" ht="14.5" customHeight="1" x14ac:dyDescent="0.55000000000000004">
      <c r="A82" s="91"/>
      <c r="B82" s="92"/>
      <c r="C82" s="1" t="s">
        <v>57</v>
      </c>
      <c r="D82" s="1" t="s">
        <v>202</v>
      </c>
      <c r="E82" s="46" t="s">
        <v>2</v>
      </c>
      <c r="F82" s="38">
        <f>INDEX(tbl_material[],MATCH(F$12,tbl_material[material],0),MATCH(RP_wood!$C$82,tbl_material[#Headers],0))</f>
        <v>12</v>
      </c>
      <c r="G82" s="15"/>
      <c r="H82" s="15"/>
      <c r="I82" s="38">
        <f>INDEX(tbl_material[],MATCH(I$12,tbl_material[material],0),MATCH(RP_wood!$C$82,tbl_material[#Headers],0))</f>
        <v>12</v>
      </c>
      <c r="J82" s="15"/>
      <c r="K82" s="15"/>
      <c r="L82" s="38">
        <f>INDEX(tbl_material[],MATCH(L$12,tbl_material[material],0),MATCH(RP_wood!$C$82,tbl_material[#Headers],0))</f>
        <v>12</v>
      </c>
      <c r="M82" s="15"/>
      <c r="N82" s="15"/>
      <c r="O82" s="38">
        <f>INDEX(tbl_material[],MATCH(O$12,tbl_material[material],0),MATCH(RP_wood!$C$82,tbl_material[#Headers],0))</f>
        <v>12</v>
      </c>
      <c r="P82" s="15"/>
      <c r="Q82" s="15"/>
      <c r="R82" s="38" t="e">
        <f>INDEX(tbl_material[],MATCH(R$12,tbl_material[material],0),MATCH(RP_wood!$C$82,tbl_material[#Headers],0))</f>
        <v>#N/A</v>
      </c>
      <c r="S82" s="15"/>
      <c r="T82" s="15"/>
      <c r="U82" s="38" t="e">
        <f>INDEX(tbl_material[],MATCH(U$12,tbl_material[material],0),MATCH(RP_wood!$C$82,tbl_material[#Headers],0))</f>
        <v>#N/A</v>
      </c>
      <c r="V82" s="15"/>
      <c r="W82" s="15"/>
    </row>
    <row r="83" spans="1:23" customFormat="1" ht="14.5" customHeight="1" x14ac:dyDescent="0.55000000000000004">
      <c r="A83" s="91"/>
      <c r="B83" s="92"/>
      <c r="C83" s="1" t="s">
        <v>58</v>
      </c>
      <c r="D83" s="1" t="s">
        <v>24</v>
      </c>
      <c r="E83" s="46" t="s">
        <v>1</v>
      </c>
      <c r="F83" s="38">
        <f>INDEX(tbl_material[],MATCH(F$12,tbl_material[material],0),MATCH(RP_wood!$C$83,tbl_material[#Headers],0))</f>
        <v>0.1</v>
      </c>
      <c r="G83" s="1"/>
      <c r="H83" s="1"/>
      <c r="I83" s="38">
        <f>INDEX(tbl_material[],MATCH(I$12,tbl_material[material],0),MATCH(RP_wood!$C$83,tbl_material[#Headers],0))</f>
        <v>0.1</v>
      </c>
      <c r="J83" s="1"/>
      <c r="K83" s="1"/>
      <c r="L83" s="38">
        <f>INDEX(tbl_material[],MATCH(L$12,tbl_material[material],0),MATCH(RP_wood!$C$83,tbl_material[#Headers],0))</f>
        <v>0.1</v>
      </c>
      <c r="M83" s="1"/>
      <c r="N83" s="1"/>
      <c r="O83" s="38">
        <f>INDEX(tbl_material[],MATCH(O$12,tbl_material[material],0),MATCH(RP_wood!$C$83,tbl_material[#Headers],0))</f>
        <v>0.1</v>
      </c>
      <c r="P83" s="1"/>
      <c r="Q83" s="1"/>
      <c r="R83" s="38" t="e">
        <f>INDEX(tbl_material[],MATCH(R$12,tbl_material[material],0),MATCH(RP_wood!$C$83,tbl_material[#Headers],0))</f>
        <v>#N/A</v>
      </c>
      <c r="S83" s="1"/>
      <c r="T83" s="1"/>
      <c r="U83" s="38" t="e">
        <f>INDEX(tbl_material[],MATCH(U$12,tbl_material[material],0),MATCH(RP_wood!$C$83,tbl_material[#Headers],0))</f>
        <v>#N/A</v>
      </c>
      <c r="V83" s="1"/>
      <c r="W83" s="1"/>
    </row>
    <row r="84" spans="1:23" customFormat="1" ht="14.5" customHeight="1" x14ac:dyDescent="0.55000000000000004">
      <c r="A84" s="91"/>
      <c r="B84" s="92"/>
      <c r="C84" s="1" t="s">
        <v>58</v>
      </c>
      <c r="D84" s="1" t="s">
        <v>25</v>
      </c>
      <c r="E84" s="46" t="s">
        <v>2</v>
      </c>
      <c r="F84" s="4">
        <f>F83*F82</f>
        <v>1.2000000000000002</v>
      </c>
      <c r="G84" s="15"/>
      <c r="H84" s="15"/>
      <c r="I84" s="4">
        <f>I83*I82</f>
        <v>1.2000000000000002</v>
      </c>
      <c r="J84" s="15"/>
      <c r="K84" s="15"/>
      <c r="L84" s="4">
        <f>L83*L82</f>
        <v>1.2000000000000002</v>
      </c>
      <c r="M84" s="15"/>
      <c r="N84" s="15"/>
      <c r="O84" s="4">
        <f>O83*O82</f>
        <v>1.2000000000000002</v>
      </c>
      <c r="P84" s="15"/>
      <c r="Q84" s="15"/>
      <c r="R84" s="4" t="e">
        <f>R83*R82</f>
        <v>#N/A</v>
      </c>
      <c r="S84" s="15"/>
      <c r="T84" s="15"/>
      <c r="U84" s="4" t="e">
        <f>U83*U82</f>
        <v>#N/A</v>
      </c>
      <c r="V84" s="15"/>
      <c r="W84" s="15"/>
    </row>
    <row r="85" spans="1:23" customFormat="1" ht="14.5" customHeight="1" x14ac:dyDescent="0.55000000000000004">
      <c r="A85" s="91"/>
      <c r="B85" s="92"/>
      <c r="C85" s="1" t="s">
        <v>23</v>
      </c>
      <c r="D85" s="1" t="s">
        <v>25</v>
      </c>
      <c r="E85" s="46" t="s">
        <v>2</v>
      </c>
      <c r="F85" s="4">
        <f>F82*(1+F83)</f>
        <v>13.200000000000001</v>
      </c>
      <c r="G85" s="15"/>
      <c r="H85" s="15"/>
      <c r="I85" s="4">
        <f>I82*(1+I83)</f>
        <v>13.200000000000001</v>
      </c>
      <c r="J85" s="15"/>
      <c r="K85" s="15"/>
      <c r="L85" s="4">
        <f>L82*(1+L83)</f>
        <v>13.200000000000001</v>
      </c>
      <c r="M85" s="15"/>
      <c r="N85" s="15"/>
      <c r="O85" s="4">
        <f>O82*(1+O83)</f>
        <v>13.200000000000001</v>
      </c>
      <c r="P85" s="15"/>
      <c r="Q85" s="15"/>
      <c r="R85" s="4" t="e">
        <f>R82*(1+R83)</f>
        <v>#N/A</v>
      </c>
      <c r="S85" s="15"/>
      <c r="T85" s="15"/>
      <c r="U85" s="4" t="e">
        <f>U82*(1+U83)</f>
        <v>#N/A</v>
      </c>
      <c r="V85" s="15"/>
      <c r="W85" s="15"/>
    </row>
    <row r="86" spans="1:23" customFormat="1" ht="14.5" customHeight="1" x14ac:dyDescent="0.55000000000000004">
      <c r="A86" s="91"/>
      <c r="B86" s="1"/>
      <c r="C86" s="1"/>
      <c r="D86" s="1"/>
      <c r="E86" s="4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customFormat="1" ht="14.5" customHeight="1" x14ac:dyDescent="0.55000000000000004">
      <c r="A87" s="91"/>
      <c r="B87" s="92"/>
      <c r="C87" s="1" t="s">
        <v>8</v>
      </c>
      <c r="D87" s="1" t="s">
        <v>59</v>
      </c>
      <c r="E87" s="46" t="s">
        <v>1</v>
      </c>
      <c r="F87" s="38">
        <f>INDEX(tbl_material[],MATCH(F$12,tbl_material[material],0),MATCH(RP_wood!$C$87,tbl_material[#Headers],0))</f>
        <v>1</v>
      </c>
      <c r="G87" s="23"/>
      <c r="H87" s="23"/>
      <c r="I87" s="38">
        <f>INDEX(tbl_material[],MATCH(I$12,tbl_material[material],0),MATCH(RP_wood!$C$87,tbl_material[#Headers],0))</f>
        <v>1</v>
      </c>
      <c r="J87" s="23"/>
      <c r="K87" s="23"/>
      <c r="L87" s="38">
        <f>INDEX(tbl_material[],MATCH(L$12,tbl_material[material],0),MATCH(RP_wood!$C$87,tbl_material[#Headers],0))</f>
        <v>1</v>
      </c>
      <c r="M87" s="23"/>
      <c r="N87" s="23"/>
      <c r="O87" s="38">
        <f>INDEX(tbl_material[],MATCH(O$12,tbl_material[material],0),MATCH(RP_wood!$C$87,tbl_material[#Headers],0))</f>
        <v>1</v>
      </c>
      <c r="P87" s="23"/>
      <c r="Q87" s="23"/>
      <c r="R87" s="38" t="e">
        <f>INDEX(tbl_material[],MATCH(R$12,tbl_material[material],0),MATCH(RP_wood!$C$87,tbl_material[#Headers],0))</f>
        <v>#N/A</v>
      </c>
      <c r="S87" s="23"/>
      <c r="T87" s="23"/>
      <c r="U87" s="38" t="e">
        <f>INDEX(tbl_material[],MATCH(U$12,tbl_material[material],0),MATCH(RP_wood!$C$87,tbl_material[#Headers],0))</f>
        <v>#N/A</v>
      </c>
      <c r="V87" s="23"/>
      <c r="W87" s="23"/>
    </row>
    <row r="88" spans="1:23" customFormat="1" ht="14.5" customHeight="1" x14ac:dyDescent="0.55000000000000004">
      <c r="A88" s="91"/>
      <c r="B88" s="92"/>
      <c r="C88" s="1" t="s">
        <v>9</v>
      </c>
      <c r="D88" s="1" t="s">
        <v>60</v>
      </c>
      <c r="E88" s="46" t="s">
        <v>1</v>
      </c>
      <c r="F88" s="38">
        <f>INDEX(tbl_material[],MATCH(F$12,tbl_material[material],0),MATCH(RP_wood!$C$88,tbl_material[#Headers],0))</f>
        <v>0</v>
      </c>
      <c r="G88" s="4"/>
      <c r="H88" s="4"/>
      <c r="I88" s="38">
        <f>INDEX(tbl_material[],MATCH(I$12,tbl_material[material],0),MATCH(RP_wood!$C$88,tbl_material[#Headers],0))</f>
        <v>0</v>
      </c>
      <c r="J88" s="4"/>
      <c r="K88" s="4"/>
      <c r="L88" s="38">
        <f>INDEX(tbl_material[],MATCH(L$12,tbl_material[material],0),MATCH(RP_wood!$C$88,tbl_material[#Headers],0))</f>
        <v>0</v>
      </c>
      <c r="M88" s="4"/>
      <c r="N88" s="4"/>
      <c r="O88" s="38">
        <f>INDEX(tbl_material[],MATCH(O$12,tbl_material[material],0),MATCH(RP_wood!$C$88,tbl_material[#Headers],0))</f>
        <v>0</v>
      </c>
      <c r="P88" s="4"/>
      <c r="Q88" s="4"/>
      <c r="R88" s="38" t="e">
        <f>INDEX(tbl_material[],MATCH(R$12,tbl_material[material],0),MATCH(RP_wood!$C$88,tbl_material[#Headers],0))</f>
        <v>#N/A</v>
      </c>
      <c r="S88" s="4"/>
      <c r="T88" s="4"/>
      <c r="U88" s="38" t="e">
        <f>INDEX(tbl_material[],MATCH(U$12,tbl_material[material],0),MATCH(RP_wood!$C$88,tbl_material[#Headers],0))</f>
        <v>#N/A</v>
      </c>
      <c r="V88" s="4"/>
      <c r="W88" s="4"/>
    </row>
    <row r="89" spans="1:23" customFormat="1" ht="14.5" customHeight="1" x14ac:dyDescent="0.55000000000000004">
      <c r="A89" s="91"/>
      <c r="B89" s="92"/>
      <c r="C89" s="1" t="s">
        <v>62</v>
      </c>
      <c r="D89" s="1" t="s">
        <v>60</v>
      </c>
      <c r="E89" s="46" t="s">
        <v>1</v>
      </c>
      <c r="F89" s="38">
        <f>INDEX(tbl_material[],MATCH(F$12,tbl_material[material],0),MATCH(RP_wood!$C$89,tbl_material[#Headers],0))</f>
        <v>0</v>
      </c>
      <c r="G89" s="4"/>
      <c r="H89" s="4"/>
      <c r="I89" s="38">
        <f>INDEX(tbl_material[],MATCH(I$12,tbl_material[material],0),MATCH(RP_wood!$C$89,tbl_material[#Headers],0))</f>
        <v>0</v>
      </c>
      <c r="J89" s="4"/>
      <c r="K89" s="4"/>
      <c r="L89" s="38">
        <f>INDEX(tbl_material[],MATCH(L$12,tbl_material[material],0),MATCH(RP_wood!$C$89,tbl_material[#Headers],0))</f>
        <v>0</v>
      </c>
      <c r="M89" s="4"/>
      <c r="N89" s="4"/>
      <c r="O89" s="38">
        <f>INDEX(tbl_material[],MATCH(O$12,tbl_material[material],0),MATCH(RP_wood!$C$89,tbl_material[#Headers],0))</f>
        <v>0</v>
      </c>
      <c r="P89" s="4"/>
      <c r="Q89" s="4"/>
      <c r="R89" s="38" t="e">
        <f>INDEX(tbl_material[],MATCH(R$12,tbl_material[material],0),MATCH(RP_wood!$C$89,tbl_material[#Headers],0))</f>
        <v>#N/A</v>
      </c>
      <c r="S89" s="4"/>
      <c r="T89" s="4"/>
      <c r="U89" s="38" t="e">
        <f>INDEX(tbl_material[],MATCH(U$12,tbl_material[material],0),MATCH(RP_wood!$C$89,tbl_material[#Headers],0))</f>
        <v>#N/A</v>
      </c>
      <c r="V89" s="4"/>
      <c r="W89" s="4"/>
    </row>
    <row r="90" spans="1:23" customFormat="1" ht="14.5" customHeight="1" x14ac:dyDescent="0.55000000000000004">
      <c r="A90" s="91"/>
      <c r="B90" s="92"/>
      <c r="C90" s="1" t="s">
        <v>22</v>
      </c>
      <c r="D90" s="1" t="s">
        <v>60</v>
      </c>
      <c r="E90" s="46" t="s">
        <v>1</v>
      </c>
      <c r="F90" s="4">
        <f>1-F87+F87*(1-F88-F89)</f>
        <v>1</v>
      </c>
      <c r="G90" s="23"/>
      <c r="H90" s="23"/>
      <c r="I90" s="4">
        <f>1-I87+I87*(1-I88-I89)</f>
        <v>1</v>
      </c>
      <c r="J90" s="23"/>
      <c r="K90" s="23"/>
      <c r="L90" s="4">
        <f>1-L87+L87*(1-L88-L89)</f>
        <v>1</v>
      </c>
      <c r="M90" s="23"/>
      <c r="N90" s="23"/>
      <c r="O90" s="4">
        <f>1-O87+O87*(1-O88-O89)</f>
        <v>1</v>
      </c>
      <c r="P90" s="23"/>
      <c r="Q90" s="23"/>
      <c r="R90" s="4" t="e">
        <f>1-R87+R87*(1-R88-R89)</f>
        <v>#N/A</v>
      </c>
      <c r="S90" s="23"/>
      <c r="T90" s="23"/>
      <c r="U90" s="4" t="e">
        <f>1-U87+U87*(1-U88-U89)</f>
        <v>#N/A</v>
      </c>
      <c r="V90" s="23"/>
      <c r="W90" s="23"/>
    </row>
    <row r="91" spans="1:23" customFormat="1" ht="14.5" customHeight="1" x14ac:dyDescent="0.55000000000000004">
      <c r="A91" s="91"/>
      <c r="B91" s="1"/>
      <c r="C91" s="1"/>
      <c r="D91" s="1"/>
      <c r="E91" s="46"/>
      <c r="F91" s="4"/>
      <c r="G91" s="1"/>
      <c r="H91" s="1"/>
      <c r="I91" s="4"/>
      <c r="J91" s="1"/>
      <c r="K91" s="1"/>
      <c r="L91" s="4"/>
      <c r="M91" s="1"/>
      <c r="N91" s="1"/>
      <c r="O91" s="4"/>
      <c r="P91" s="1"/>
      <c r="Q91" s="1"/>
      <c r="R91" s="4"/>
      <c r="S91" s="1"/>
      <c r="T91" s="1"/>
      <c r="U91" s="4"/>
      <c r="V91" s="1"/>
      <c r="W91" s="1"/>
    </row>
    <row r="92" spans="1:23" customFormat="1" ht="14.5" customHeight="1" x14ac:dyDescent="0.55000000000000004">
      <c r="A92" s="91"/>
      <c r="B92" s="92"/>
      <c r="C92" s="1" t="s">
        <v>8</v>
      </c>
      <c r="D92" s="1" t="s">
        <v>20</v>
      </c>
      <c r="E92" s="46" t="s">
        <v>1</v>
      </c>
      <c r="F92" s="38">
        <f>INDEX(tbl_material[],MATCH(F$12,tbl_material[material],0),MATCH(RP_wood!$F$6,tbl_material[#Headers],0))</f>
        <v>0.5</v>
      </c>
      <c r="G92" s="4"/>
      <c r="H92" s="4"/>
      <c r="I92" s="38">
        <f>INDEX(tbl_material[],MATCH(I$12,tbl_material[material],0),MATCH(RP_wood!$I$6,tbl_material[#Headers],0))</f>
        <v>0.5</v>
      </c>
      <c r="J92" s="4"/>
      <c r="K92" s="4"/>
      <c r="L92" s="38">
        <f>INDEX(tbl_material[],MATCH(L$12,tbl_material[material],0),MATCH(RP_wood!$I$6,tbl_material[#Headers],0))</f>
        <v>0.5</v>
      </c>
      <c r="M92" s="4"/>
      <c r="N92" s="4"/>
      <c r="O92" s="38">
        <f>INDEX(tbl_material[],MATCH(O$12,tbl_material[material],0),MATCH(RP_wood!$I$6,tbl_material[#Headers],0))</f>
        <v>0.5</v>
      </c>
      <c r="P92" s="4"/>
      <c r="Q92" s="4"/>
      <c r="R92" s="38" t="e">
        <f>INDEX(tbl_material[],MATCH(R$12,tbl_material[material],0),MATCH(RP_wood!$I$6,tbl_material[#Headers],0))</f>
        <v>#N/A</v>
      </c>
      <c r="S92" s="4"/>
      <c r="T92" s="4"/>
      <c r="U92" s="38" t="e">
        <f>INDEX(tbl_material[],MATCH(U$12,tbl_material[material],0),MATCH(RP_wood!$I$6,tbl_material[#Headers],0))</f>
        <v>#N/A</v>
      </c>
      <c r="V92" s="4"/>
      <c r="W92" s="4"/>
    </row>
    <row r="93" spans="1:23" customFormat="1" ht="14.5" customHeight="1" x14ac:dyDescent="0.55000000000000004">
      <c r="A93" s="91"/>
      <c r="B93" s="92"/>
      <c r="C93" s="1" t="s">
        <v>9</v>
      </c>
      <c r="D93" s="1" t="s">
        <v>63</v>
      </c>
      <c r="E93" s="46" t="s">
        <v>1</v>
      </c>
      <c r="F93" s="38">
        <f>INDEX(tbl_material[],MATCH(F$12,tbl_material[material],0),MATCH(RP_wood!$F$7,tbl_material[#Headers],0))</f>
        <v>0</v>
      </c>
      <c r="G93" s="23"/>
      <c r="H93" s="23"/>
      <c r="I93" s="38">
        <f>INDEX(tbl_material[],MATCH(I$12,tbl_material[material],0),MATCH(RP_wood!$F$7,tbl_material[#Headers],0))</f>
        <v>0</v>
      </c>
      <c r="J93" s="23"/>
      <c r="K93" s="23"/>
      <c r="L93" s="38">
        <f>INDEX(tbl_material[],MATCH(L$12,tbl_material[material],0),MATCH(RP_wood!$F$7,tbl_material[#Headers],0))</f>
        <v>0</v>
      </c>
      <c r="M93" s="23"/>
      <c r="N93" s="23"/>
      <c r="O93" s="38">
        <f>INDEX(tbl_material[],MATCH(O$12,tbl_material[material],0),MATCH(RP_wood!$F$7,tbl_material[#Headers],0))</f>
        <v>0</v>
      </c>
      <c r="P93" s="23"/>
      <c r="Q93" s="23"/>
      <c r="R93" s="38" t="e">
        <f>INDEX(tbl_material[],MATCH(R$12,tbl_material[material],0),MATCH(RP_wood!$F$7,tbl_material[#Headers],0))</f>
        <v>#N/A</v>
      </c>
      <c r="S93" s="23"/>
      <c r="T93" s="23"/>
      <c r="U93" s="38" t="e">
        <f>INDEX(tbl_material[],MATCH(U$12,tbl_material[material],0),MATCH(RP_wood!$F$7,tbl_material[#Headers],0))</f>
        <v>#N/A</v>
      </c>
      <c r="V93" s="23"/>
      <c r="W93" s="23"/>
    </row>
    <row r="94" spans="1:23" customFormat="1" ht="14.5" customHeight="1" x14ac:dyDescent="0.55000000000000004">
      <c r="A94" s="91"/>
      <c r="B94" s="92"/>
      <c r="C94" s="1" t="s">
        <v>62</v>
      </c>
      <c r="D94" s="1" t="s">
        <v>63</v>
      </c>
      <c r="E94" s="46" t="s">
        <v>1</v>
      </c>
      <c r="F94" s="38">
        <f>INDEX(tbl_material[],MATCH(F$12,tbl_material[material],0),MATCH(RP_wood!$F$8,tbl_material[#Headers],0))</f>
        <v>0</v>
      </c>
      <c r="G94" s="23"/>
      <c r="H94" s="23"/>
      <c r="I94" s="38">
        <f>INDEX(tbl_material[],MATCH(I$12,tbl_material[material],0),MATCH(RP_wood!$F$8,tbl_material[#Headers],0))</f>
        <v>0</v>
      </c>
      <c r="J94" s="23"/>
      <c r="K94" s="23"/>
      <c r="L94" s="38">
        <f>INDEX(tbl_material[],MATCH(L$12,tbl_material[material],0),MATCH(RP_wood!$F$8,tbl_material[#Headers],0))</f>
        <v>0</v>
      </c>
      <c r="M94" s="23"/>
      <c r="N94" s="23"/>
      <c r="O94" s="38">
        <f>INDEX(tbl_material[],MATCH(O$12,tbl_material[material],0),MATCH(RP_wood!$F$8,tbl_material[#Headers],0))</f>
        <v>0</v>
      </c>
      <c r="P94" s="23"/>
      <c r="Q94" s="23"/>
      <c r="R94" s="38" t="e">
        <f>INDEX(tbl_material[],MATCH(R$12,tbl_material[material],0),MATCH(RP_wood!$F$8,tbl_material[#Headers],0))</f>
        <v>#N/A</v>
      </c>
      <c r="S94" s="23"/>
      <c r="T94" s="23"/>
      <c r="U94" s="38" t="e">
        <f>INDEX(tbl_material[],MATCH(U$12,tbl_material[material],0),MATCH(RP_wood!$F$8,tbl_material[#Headers],0))</f>
        <v>#N/A</v>
      </c>
      <c r="V94" s="23"/>
      <c r="W94" s="23"/>
    </row>
    <row r="95" spans="1:23" customFormat="1" ht="14.5" customHeight="1" x14ac:dyDescent="0.55000000000000004">
      <c r="A95" s="91"/>
      <c r="B95" s="92"/>
      <c r="C95" s="1" t="s">
        <v>22</v>
      </c>
      <c r="D95" s="1" t="s">
        <v>63</v>
      </c>
      <c r="E95" s="46" t="s">
        <v>1</v>
      </c>
      <c r="F95" s="4">
        <f>1-F92+F92*(1-F93-F94)</f>
        <v>1</v>
      </c>
      <c r="G95" s="4"/>
      <c r="H95" s="4"/>
      <c r="I95" s="4">
        <f>1-I92+I92*(1-I93-I94)</f>
        <v>1</v>
      </c>
      <c r="J95" s="4"/>
      <c r="K95" s="4"/>
      <c r="L95" s="4">
        <f>1-L92+L92*(1-L93-L94)</f>
        <v>1</v>
      </c>
      <c r="M95" s="4"/>
      <c r="N95" s="4"/>
      <c r="O95" s="4">
        <f>1-O92+O92*(1-O93-O94)</f>
        <v>1</v>
      </c>
      <c r="P95" s="4"/>
      <c r="Q95" s="4"/>
      <c r="R95" s="4" t="e">
        <f>1-R92+R92*(1-R93-R94)</f>
        <v>#N/A</v>
      </c>
      <c r="S95" s="4"/>
      <c r="T95" s="4"/>
      <c r="U95" s="4" t="e">
        <f>1-U92+U92*(1-U93-U94)</f>
        <v>#N/A</v>
      </c>
      <c r="V95" s="4"/>
      <c r="W95" s="4"/>
    </row>
    <row r="96" spans="1:23" customFormat="1" ht="14.5" customHeight="1" x14ac:dyDescent="0.55000000000000004">
      <c r="A96" s="91"/>
      <c r="B96" s="1"/>
      <c r="C96" s="1"/>
      <c r="D96" s="1"/>
      <c r="E96" s="4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customFormat="1" ht="14.5" customHeight="1" x14ac:dyDescent="0.55000000000000004">
      <c r="A97" s="91"/>
      <c r="B97" s="92"/>
      <c r="C97" s="1" t="s">
        <v>5</v>
      </c>
      <c r="D97" s="1" t="s">
        <v>35</v>
      </c>
      <c r="E97" s="46" t="s">
        <v>1</v>
      </c>
      <c r="F97" s="11">
        <f>(F87*F88*F83+F92*F93)/(1+F83)</f>
        <v>0</v>
      </c>
      <c r="G97" s="11"/>
      <c r="H97" s="11"/>
      <c r="I97" s="11">
        <f>(I87*I88*I83+I92*I93)/(1+I83)</f>
        <v>0</v>
      </c>
      <c r="J97" s="11"/>
      <c r="K97" s="11"/>
      <c r="L97" s="11">
        <f>(L87*L88*L83+L92*L93)/(1+L83)</f>
        <v>0</v>
      </c>
      <c r="M97" s="11"/>
      <c r="N97" s="11"/>
      <c r="O97" s="11">
        <f>(O87*O88*O83+O92*O93)/(1+O83)</f>
        <v>0</v>
      </c>
      <c r="P97" s="11"/>
      <c r="Q97" s="11"/>
      <c r="R97" s="11" t="e">
        <f>(R87*R88*R83+R92*R93)/(1+R83)</f>
        <v>#N/A</v>
      </c>
      <c r="S97" s="11"/>
      <c r="T97" s="11"/>
      <c r="U97" s="11" t="e">
        <f>(U87*U88*U83+U92*U93)/(1+U83)</f>
        <v>#N/A</v>
      </c>
      <c r="V97" s="11"/>
      <c r="W97" s="11"/>
    </row>
    <row r="98" spans="1:23" customFormat="1" ht="14.5" customHeight="1" x14ac:dyDescent="0.55000000000000004">
      <c r="A98" s="91"/>
      <c r="B98" s="92"/>
      <c r="C98" s="1" t="s">
        <v>4</v>
      </c>
      <c r="D98" s="1" t="s">
        <v>35</v>
      </c>
      <c r="E98" s="46" t="s">
        <v>1</v>
      </c>
      <c r="F98" s="11">
        <f>(F87*F89*F83+F92*F94)/(1+F83)</f>
        <v>0</v>
      </c>
      <c r="G98" s="11"/>
      <c r="H98" s="11"/>
      <c r="I98" s="11">
        <f>(I87*I89*I83+I92*I94)/(1+I83)</f>
        <v>0</v>
      </c>
      <c r="J98" s="11"/>
      <c r="K98" s="11"/>
      <c r="L98" s="11">
        <f>(L87*L89*L83+L92*L94)/(1+L83)</f>
        <v>0</v>
      </c>
      <c r="M98" s="11"/>
      <c r="N98" s="11"/>
      <c r="O98" s="11">
        <f>(O87*O89*O83+O92*O94)/(1+O83)</f>
        <v>0</v>
      </c>
      <c r="P98" s="11"/>
      <c r="Q98" s="11"/>
      <c r="R98" s="11" t="e">
        <f>(R87*R89*R83+R92*R94)/(1+R83)</f>
        <v>#N/A</v>
      </c>
      <c r="S98" s="11"/>
      <c r="T98" s="11"/>
      <c r="U98" s="11" t="e">
        <f>(U87*U89*U83+U92*U94)/(1+U83)</f>
        <v>#N/A</v>
      </c>
      <c r="V98" s="11"/>
      <c r="W98" s="11"/>
    </row>
    <row r="99" spans="1:23" customFormat="1" ht="14.5" customHeight="1" x14ac:dyDescent="0.55000000000000004">
      <c r="A99" s="91"/>
      <c r="B99" s="92"/>
      <c r="C99" s="1" t="s">
        <v>6</v>
      </c>
      <c r="D99" s="1" t="s">
        <v>35</v>
      </c>
      <c r="E99" s="46" t="s">
        <v>1</v>
      </c>
      <c r="F99" s="4">
        <f>1-F97-F98</f>
        <v>1</v>
      </c>
      <c r="G99" s="4"/>
      <c r="H99" s="4"/>
      <c r="I99" s="4">
        <f>1-I97-I98</f>
        <v>1</v>
      </c>
      <c r="J99" s="4"/>
      <c r="K99" s="4"/>
      <c r="L99" s="4">
        <f>1-L97-L98</f>
        <v>1</v>
      </c>
      <c r="M99" s="4"/>
      <c r="N99" s="4"/>
      <c r="O99" s="4">
        <f>1-O97-O98</f>
        <v>1</v>
      </c>
      <c r="P99" s="4"/>
      <c r="Q99" s="4"/>
      <c r="R99" s="4" t="e">
        <f>1-R97-R98</f>
        <v>#N/A</v>
      </c>
      <c r="S99" s="4"/>
      <c r="T99" s="4"/>
      <c r="U99" s="4" t="e">
        <f>1-U97-U98</f>
        <v>#N/A</v>
      </c>
      <c r="V99" s="4"/>
      <c r="W99" s="4"/>
    </row>
    <row r="100" spans="1:23" customFormat="1" ht="14.5" customHeight="1" x14ac:dyDescent="0.55000000000000004">
      <c r="A100" s="91"/>
      <c r="B100" s="1"/>
      <c r="C100" s="1"/>
      <c r="D100" s="1"/>
      <c r="E100" s="4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customFormat="1" ht="14.5" customHeight="1" x14ac:dyDescent="0.65">
      <c r="A101" s="91"/>
      <c r="B101" s="9" t="s">
        <v>31</v>
      </c>
      <c r="C101" s="3" t="s">
        <v>43</v>
      </c>
      <c r="D101" s="1" t="s">
        <v>39</v>
      </c>
      <c r="E101" s="25" t="s">
        <v>1</v>
      </c>
      <c r="F101" s="6">
        <f>(0.5*F82/F77)*(1+F83)*(1/lifetime_wood)*(1+F79*(1-F97)-F97-F98)</f>
        <v>2.1389085979136346E-12</v>
      </c>
      <c r="G101" s="5"/>
      <c r="H101" s="5"/>
      <c r="I101" s="6">
        <f>(0.5*I82/I77)*(1+I83)*(1/lifetime_wood)*(1+I79*(1-I97)-I97-I98)</f>
        <v>2.1389085979136346E-12</v>
      </c>
      <c r="J101" s="5"/>
      <c r="K101" s="5"/>
      <c r="L101" s="6">
        <f>(0.5*L82/L77)*(1+L83)*(1/lifetime_wood)*(1+L79*(1-L97)-L97-L98)</f>
        <v>2.1389085979136346E-12</v>
      </c>
      <c r="M101" s="5"/>
      <c r="N101" s="5"/>
      <c r="O101" s="6">
        <f>(0.5*O82/O77)*(1+O83)*(1/lifetime_wood)*(1+O79*(1-O97)-O97-O98)</f>
        <v>2.1389085979136346E-12</v>
      </c>
      <c r="P101" s="5"/>
      <c r="Q101" s="5"/>
      <c r="R101" s="6" t="e">
        <f>(0.5*R82/R77)*(1+R83)*(1/lifetime_wood)*(1+R79*(1-R97)-R97-R98)</f>
        <v>#N/A</v>
      </c>
      <c r="S101" s="5"/>
      <c r="T101" s="5"/>
      <c r="U101" s="6" t="e">
        <f>(0.5*U82/U77)*(1+U83)*(1/lifetime_wood)*(1+U79*(1-U97)-U97-U98)</f>
        <v>#N/A</v>
      </c>
      <c r="V101" s="5"/>
      <c r="W101" s="5"/>
    </row>
    <row r="102" spans="1:23" customFormat="1" ht="14.5" customHeight="1" x14ac:dyDescent="0.65">
      <c r="A102" s="53"/>
      <c r="B102" s="9"/>
      <c r="C102" s="3"/>
      <c r="D102" s="1"/>
      <c r="E102" s="25"/>
      <c r="F102" s="6"/>
      <c r="G102" s="5"/>
      <c r="H102" s="5"/>
      <c r="I102" s="6"/>
      <c r="J102" s="5"/>
      <c r="K102" s="5"/>
      <c r="L102" s="6"/>
      <c r="M102" s="5"/>
      <c r="N102" s="5"/>
      <c r="O102" s="6"/>
      <c r="P102" s="5"/>
      <c r="Q102" s="5"/>
      <c r="R102" s="6"/>
      <c r="S102" s="5"/>
      <c r="T102" s="5"/>
      <c r="U102" s="6"/>
      <c r="V102" s="5"/>
      <c r="W102" s="5"/>
    </row>
    <row r="103" spans="1:23" customFormat="1" ht="14.5" customHeight="1" x14ac:dyDescent="0.65">
      <c r="A103" s="53"/>
      <c r="B103" s="9"/>
      <c r="C103" s="3"/>
      <c r="D103" s="1"/>
      <c r="E103" s="25"/>
      <c r="F103" s="6"/>
      <c r="G103" s="5"/>
      <c r="H103" s="5"/>
      <c r="I103" s="6"/>
      <c r="J103" s="5"/>
      <c r="K103" s="5"/>
      <c r="L103" s="6"/>
      <c r="M103" s="5"/>
      <c r="N103" s="5"/>
      <c r="O103" s="6"/>
      <c r="P103" s="5"/>
      <c r="Q103" s="5"/>
      <c r="R103" s="6"/>
      <c r="S103" s="5"/>
      <c r="T103" s="5"/>
      <c r="U103" s="6"/>
      <c r="V103" s="5"/>
      <c r="W103" s="5"/>
    </row>
    <row r="104" spans="1:23" customFormat="1" ht="14.5" customHeight="1" x14ac:dyDescent="0.55000000000000004">
      <c r="A104" s="88" t="s">
        <v>41</v>
      </c>
      <c r="B104" s="46" t="s">
        <v>50</v>
      </c>
      <c r="C104" s="1" t="s">
        <v>41</v>
      </c>
      <c r="D104" s="1"/>
      <c r="E104" s="46"/>
      <c r="F104" s="1"/>
      <c r="G104" s="1" t="s">
        <v>67</v>
      </c>
      <c r="H104" s="1"/>
      <c r="I104" s="1"/>
      <c r="J104" s="1" t="s">
        <v>67</v>
      </c>
      <c r="K104" s="1"/>
      <c r="L104" s="1"/>
      <c r="M104" s="1" t="s">
        <v>67</v>
      </c>
      <c r="N104" s="1"/>
      <c r="O104" s="1"/>
      <c r="P104" s="1" t="s">
        <v>67</v>
      </c>
      <c r="Q104" s="1"/>
      <c r="R104" s="1"/>
      <c r="S104" s="1" t="s">
        <v>67</v>
      </c>
      <c r="T104" s="1"/>
      <c r="U104" s="1"/>
      <c r="V104" s="1" t="s">
        <v>67</v>
      </c>
      <c r="W104" s="1"/>
    </row>
    <row r="105" spans="1:23" customFormat="1" x14ac:dyDescent="0.55000000000000004">
      <c r="A105" s="88"/>
      <c r="B105" s="25" t="s">
        <v>10</v>
      </c>
      <c r="C105" s="1" t="s">
        <v>26</v>
      </c>
      <c r="D105" s="1" t="s">
        <v>110</v>
      </c>
      <c r="E105" s="46" t="s">
        <v>48</v>
      </c>
      <c r="F105" s="5">
        <f>VLOOKUP($D105,tbl_ERP[],7,0)</f>
        <v>756806038323.21313</v>
      </c>
      <c r="G105" s="38">
        <f>INDEX(tbl_electricity[],MATCH($D$105,tbl_electricity[ERP identifier],0),MATCH(RP_wood!F$13,tbl_electricity[#Headers],0))</f>
        <v>0</v>
      </c>
      <c r="H105" s="1"/>
      <c r="I105" s="5">
        <f>VLOOKUP($D105,tbl_ERP[],7,0)</f>
        <v>756806038323.21313</v>
      </c>
      <c r="J105" s="38">
        <f>INDEX(tbl_electricity[],MATCH($D$105,tbl_electricity[ERP identifier],0),MATCH(RP_wood!I$13,tbl_electricity[#Headers],0))</f>
        <v>0</v>
      </c>
      <c r="K105" s="1"/>
      <c r="L105" s="5">
        <f>VLOOKUP($D105,tbl_ERP[],7,0)</f>
        <v>756806038323.21313</v>
      </c>
      <c r="M105" s="38">
        <f>INDEX(tbl_electricity[],MATCH($D$105,tbl_electricity[ERP identifier],0),MATCH(RP_wood!L$13,tbl_electricity[#Headers],0))</f>
        <v>0</v>
      </c>
      <c r="N105" s="1"/>
      <c r="O105" s="5">
        <f>VLOOKUP($D105,tbl_ERP[],7,0)</f>
        <v>756806038323.21313</v>
      </c>
      <c r="P105" s="38">
        <v>1</v>
      </c>
      <c r="Q105" s="1"/>
      <c r="R105" s="5">
        <f>VLOOKUP($D105,tbl_ERP[],7,0)</f>
        <v>756806038323.21313</v>
      </c>
      <c r="S105" s="38" t="e">
        <f>INDEX(tbl_electricity[],MATCH($D$105,tbl_electricity[ERP identifier],0),MATCH(RP_wood!R$13,tbl_electricity[#Headers],0))</f>
        <v>#N/A</v>
      </c>
      <c r="T105" s="1"/>
      <c r="U105" s="5">
        <f>VLOOKUP($D105,tbl_ERP[],7,0)</f>
        <v>756806038323.21313</v>
      </c>
      <c r="V105" s="38" t="e">
        <f>INDEX(tbl_electricity[],MATCH($D$105,tbl_electricity[ERP identifier],0),MATCH(RP_wood!U$13,tbl_electricity[#Headers],0))</f>
        <v>#N/A</v>
      </c>
      <c r="W105" s="1"/>
    </row>
    <row r="106" spans="1:23" customFormat="1" x14ac:dyDescent="0.55000000000000004">
      <c r="A106" s="88"/>
      <c r="B106" s="25"/>
      <c r="C106" s="1"/>
      <c r="D106" s="1" t="s">
        <v>111</v>
      </c>
      <c r="E106" s="46" t="s">
        <v>48</v>
      </c>
      <c r="F106" s="5">
        <f>VLOOKUP($D106,tbl_ERP[],7,0)</f>
        <v>880208103798.97388</v>
      </c>
      <c r="G106" s="38">
        <f>INDEX(tbl_electricity[],MATCH($D$106,tbl_electricity[ERP identifier],0),MATCH(RP_wood!F$13,tbl_electricity[#Headers],0))</f>
        <v>0</v>
      </c>
      <c r="H106" s="1"/>
      <c r="I106" s="5">
        <f>VLOOKUP($D106,tbl_ERP[],7,0)</f>
        <v>880208103798.97388</v>
      </c>
      <c r="J106" s="38">
        <f>INDEX(tbl_electricity[],MATCH($D$106,tbl_electricity[ERP identifier],0),MATCH(RP_wood!I$13,tbl_electricity[#Headers],0))</f>
        <v>0</v>
      </c>
      <c r="K106" s="1"/>
      <c r="L106" s="5">
        <f>VLOOKUP($D106,tbl_ERP[],7,0)</f>
        <v>880208103798.97388</v>
      </c>
      <c r="M106" s="38">
        <f>INDEX(tbl_electricity[],MATCH($D$106,tbl_electricity[ERP identifier],0),MATCH(RP_wood!L$13,tbl_electricity[#Headers],0))</f>
        <v>0</v>
      </c>
      <c r="N106" s="1"/>
      <c r="O106" s="5">
        <f>VLOOKUP($D106,tbl_ERP[],7,0)</f>
        <v>880208103798.97388</v>
      </c>
      <c r="P106" s="38">
        <f>INDEX(tbl_electricity[],MATCH($D$106,tbl_electricity[ERP identifier],0),MATCH(RP_wood!O$13,tbl_electricity[#Headers],0))</f>
        <v>0</v>
      </c>
      <c r="Q106" s="1"/>
      <c r="R106" s="5">
        <f>VLOOKUP($D106,tbl_ERP[],7,0)</f>
        <v>880208103798.97388</v>
      </c>
      <c r="S106" s="38" t="e">
        <f>INDEX(tbl_electricity[],MATCH($D$106,tbl_electricity[ERP identifier],0),MATCH(RP_wood!R$13,tbl_electricity[#Headers],0))</f>
        <v>#N/A</v>
      </c>
      <c r="T106" s="1"/>
      <c r="U106" s="5">
        <f>VLOOKUP($D106,tbl_ERP[],7,0)</f>
        <v>880208103798.97388</v>
      </c>
      <c r="V106" s="38" t="e">
        <f>INDEX(tbl_electricity[],MATCH($D$106,tbl_electricity[ERP identifier],0),MATCH(RP_wood!U$13,tbl_electricity[#Headers],0))</f>
        <v>#N/A</v>
      </c>
      <c r="W106" s="1"/>
    </row>
    <row r="107" spans="1:23" customFormat="1" x14ac:dyDescent="0.55000000000000004">
      <c r="A107" s="88"/>
      <c r="B107" s="25"/>
      <c r="C107" s="1"/>
      <c r="D107" s="1" t="s">
        <v>112</v>
      </c>
      <c r="E107" s="46" t="s">
        <v>48</v>
      </c>
      <c r="F107" s="5">
        <f>VLOOKUP($D107,tbl_ERP[],7,0)</f>
        <v>1421033763401.1748</v>
      </c>
      <c r="G107" s="38">
        <f>INDEX(tbl_electricity[],MATCH($D$107,tbl_electricity[ERP identifier],0),MATCH(RP_wood!F$13,tbl_electricity[#Headers],0))</f>
        <v>1.9E-2</v>
      </c>
      <c r="H107" s="1"/>
      <c r="I107" s="5">
        <f>VLOOKUP($D107,tbl_ERP[],7,0)</f>
        <v>1421033763401.1748</v>
      </c>
      <c r="J107" s="38">
        <f>INDEX(tbl_electricity[],MATCH($D$107,tbl_electricity[ERP identifier],0),MATCH(RP_wood!I$13,tbl_electricity[#Headers],0))</f>
        <v>1.9E-2</v>
      </c>
      <c r="K107" s="1"/>
      <c r="L107" s="5">
        <f>VLOOKUP($D107,tbl_ERP[],7,0)</f>
        <v>1421033763401.1748</v>
      </c>
      <c r="M107" s="38">
        <f>INDEX(tbl_electricity[],MATCH($D$107,tbl_electricity[ERP identifier],0),MATCH(RP_wood!L$13,tbl_electricity[#Headers],0))</f>
        <v>0</v>
      </c>
      <c r="N107" s="1"/>
      <c r="O107" s="5">
        <f>VLOOKUP($D107,tbl_ERP[],7,0)</f>
        <v>1421033763401.1748</v>
      </c>
      <c r="P107" s="38">
        <v>0</v>
      </c>
      <c r="Q107" s="1"/>
      <c r="R107" s="5">
        <f>VLOOKUP($D107,tbl_ERP[],7,0)</f>
        <v>1421033763401.1748</v>
      </c>
      <c r="S107" s="38" t="e">
        <f>INDEX(tbl_electricity[],MATCH($D$107,tbl_electricity[ERP identifier],0),MATCH(RP_wood!R$13,tbl_electricity[#Headers],0))</f>
        <v>#N/A</v>
      </c>
      <c r="T107" s="1"/>
      <c r="U107" s="5">
        <f>VLOOKUP($D107,tbl_ERP[],7,0)</f>
        <v>1421033763401.1748</v>
      </c>
      <c r="V107" s="38" t="e">
        <f>INDEX(tbl_electricity[],MATCH($D$107,tbl_electricity[ERP identifier],0),MATCH(RP_wood!U$13,tbl_electricity[#Headers],0))</f>
        <v>#N/A</v>
      </c>
      <c r="W107" s="1"/>
    </row>
    <row r="108" spans="1:23" customFormat="1" x14ac:dyDescent="0.55000000000000004">
      <c r="A108" s="88"/>
      <c r="B108" s="25"/>
      <c r="C108" s="1"/>
      <c r="D108" s="1" t="s">
        <v>113</v>
      </c>
      <c r="E108" s="46" t="s">
        <v>48</v>
      </c>
      <c r="F108" s="5">
        <f>VLOOKUP($D108,tbl_ERP[],7,0)</f>
        <v>7031194165791.167</v>
      </c>
      <c r="G108" s="38">
        <f>INDEX(tbl_electricity[],MATCH($D$108,tbl_electricity[ERP identifier],0),MATCH(RP_wood!F$13,tbl_electricity[#Headers],0))</f>
        <v>0.28899999999999998</v>
      </c>
      <c r="H108" s="1"/>
      <c r="I108" s="5">
        <f>VLOOKUP($D108,tbl_ERP[],7,0)</f>
        <v>7031194165791.167</v>
      </c>
      <c r="J108" s="38">
        <f>INDEX(tbl_electricity[],MATCH($D$108,tbl_electricity[ERP identifier],0),MATCH(RP_wood!I$13,tbl_electricity[#Headers],0))</f>
        <v>0.28899999999999998</v>
      </c>
      <c r="K108" s="1"/>
      <c r="L108" s="5">
        <f>VLOOKUP($D108,tbl_ERP[],7,0)</f>
        <v>7031194165791.167</v>
      </c>
      <c r="M108" s="38">
        <f>INDEX(tbl_electricity[],MATCH($D$108,tbl_electricity[ERP identifier],0),MATCH(RP_wood!L$13,tbl_electricity[#Headers],0))</f>
        <v>0</v>
      </c>
      <c r="N108" s="1"/>
      <c r="O108" s="5">
        <f>VLOOKUP($D108,tbl_ERP[],7,0)</f>
        <v>7031194165791.167</v>
      </c>
      <c r="P108" s="38">
        <v>0</v>
      </c>
      <c r="Q108" s="1"/>
      <c r="R108" s="5">
        <f>VLOOKUP($D108,tbl_ERP[],7,0)</f>
        <v>7031194165791.167</v>
      </c>
      <c r="S108" s="38" t="e">
        <f>INDEX(tbl_electricity[],MATCH($D$108,tbl_electricity[ERP identifier],0),MATCH(RP_wood!R$13,tbl_electricity[#Headers],0))</f>
        <v>#N/A</v>
      </c>
      <c r="T108" s="1"/>
      <c r="U108" s="5">
        <f>VLOOKUP($D108,tbl_ERP[],7,0)</f>
        <v>7031194165791.167</v>
      </c>
      <c r="V108" s="38" t="e">
        <f>INDEX(tbl_electricity[],MATCH($D$108,tbl_electricity[ERP identifier],0),MATCH(RP_wood!U$13,tbl_electricity[#Headers],0))</f>
        <v>#N/A</v>
      </c>
      <c r="W108" s="1"/>
    </row>
    <row r="109" spans="1:23" customFormat="1" x14ac:dyDescent="0.55000000000000004">
      <c r="A109" s="88"/>
      <c r="B109" s="25"/>
      <c r="C109" s="1"/>
      <c r="D109" s="1" t="s">
        <v>114</v>
      </c>
      <c r="E109" s="46" t="s">
        <v>48</v>
      </c>
      <c r="F109" s="5">
        <f>VLOOKUP($D109,tbl_ERP[],7,0)</f>
        <v>1130000000000</v>
      </c>
      <c r="G109" s="38">
        <f>INDEX(tbl_electricity[],MATCH($D$109,tbl_electricity[ERP identifier],0),MATCH(RP_wood!F$13,tbl_electricity[#Headers],0))</f>
        <v>0.01</v>
      </c>
      <c r="H109" s="1"/>
      <c r="I109" s="5">
        <f>VLOOKUP($D109,tbl_ERP[],7,0)</f>
        <v>1130000000000</v>
      </c>
      <c r="J109" s="38">
        <f>INDEX(tbl_electricity[],MATCH($D$109,tbl_electricity[ERP identifier],0),MATCH(RP_wood!I$13,tbl_electricity[#Headers],0))</f>
        <v>0.01</v>
      </c>
      <c r="K109" s="1"/>
      <c r="L109" s="5">
        <f>VLOOKUP($D109,tbl_ERP[],7,0)</f>
        <v>1130000000000</v>
      </c>
      <c r="M109" s="38">
        <f>INDEX(tbl_electricity[],MATCH($D$109,tbl_electricity[ERP identifier],0),MATCH(RP_wood!L$13,tbl_electricity[#Headers],0))</f>
        <v>0.1</v>
      </c>
      <c r="N109" s="1"/>
      <c r="O109" s="5">
        <f>VLOOKUP($D109,tbl_ERP[],7,0)</f>
        <v>1130000000000</v>
      </c>
      <c r="P109" s="38">
        <v>0</v>
      </c>
      <c r="Q109" s="1"/>
      <c r="R109" s="5">
        <f>VLOOKUP($D109,tbl_ERP[],7,0)</f>
        <v>1130000000000</v>
      </c>
      <c r="S109" s="38" t="e">
        <f>INDEX(tbl_electricity[],MATCH($D$109,tbl_electricity[ERP identifier],0),MATCH(RP_wood!R$13,tbl_electricity[#Headers],0))</f>
        <v>#N/A</v>
      </c>
      <c r="T109" s="1"/>
      <c r="U109" s="5">
        <f>VLOOKUP($D109,tbl_ERP[],7,0)</f>
        <v>1130000000000</v>
      </c>
      <c r="V109" s="38" t="e">
        <f>INDEX(tbl_electricity[],MATCH($D$109,tbl_electricity[ERP identifier],0),MATCH(RP_wood!U$13,tbl_electricity[#Headers],0))</f>
        <v>#N/A</v>
      </c>
      <c r="W109" s="1"/>
    </row>
    <row r="110" spans="1:23" customFormat="1" x14ac:dyDescent="0.55000000000000004">
      <c r="A110" s="88"/>
      <c r="B110" s="25"/>
      <c r="C110" s="1"/>
      <c r="D110" s="1" t="s">
        <v>115</v>
      </c>
      <c r="E110" s="46" t="s">
        <v>48</v>
      </c>
      <c r="F110" s="5">
        <f>VLOOKUP($D110,tbl_ERP[],7,0)</f>
        <v>984000000000</v>
      </c>
      <c r="G110" s="38">
        <f>INDEX(tbl_electricity[],MATCH($D$110,tbl_electricity[ERP identifier],0),MATCH(RP_wood!F$13,tbl_electricity[#Headers],0))</f>
        <v>0</v>
      </c>
      <c r="H110" s="1"/>
      <c r="I110" s="5">
        <f>VLOOKUP($D110,tbl_ERP[],7,0)</f>
        <v>984000000000</v>
      </c>
      <c r="J110" s="38">
        <f>INDEX(tbl_electricity[],MATCH($D$110,tbl_electricity[ERP identifier],0),MATCH(RP_wood!I$13,tbl_electricity[#Headers],0))</f>
        <v>0</v>
      </c>
      <c r="K110" s="1"/>
      <c r="L110" s="5">
        <f>VLOOKUP($D110,tbl_ERP[],7,0)</f>
        <v>984000000000</v>
      </c>
      <c r="M110" s="38">
        <f>INDEX(tbl_electricity[],MATCH($D$110,tbl_electricity[ERP identifier],0),MATCH(RP_wood!L$13,tbl_electricity[#Headers],0))</f>
        <v>0</v>
      </c>
      <c r="N110" s="1"/>
      <c r="O110" s="5">
        <f>VLOOKUP($D110,tbl_ERP[],7,0)</f>
        <v>984000000000</v>
      </c>
      <c r="P110" s="38">
        <f>INDEX(tbl_electricity[],MATCH($D$110,tbl_electricity[ERP identifier],0),MATCH(RP_wood!O$13,tbl_electricity[#Headers],0))</f>
        <v>0</v>
      </c>
      <c r="Q110" s="1"/>
      <c r="R110" s="5">
        <f>VLOOKUP($D110,tbl_ERP[],7,0)</f>
        <v>984000000000</v>
      </c>
      <c r="S110" s="38" t="e">
        <f>INDEX(tbl_electricity[],MATCH($D$110,tbl_electricity[ERP identifier],0),MATCH(RP_wood!R$13,tbl_electricity[#Headers],0))</f>
        <v>#N/A</v>
      </c>
      <c r="T110" s="1"/>
      <c r="U110" s="5">
        <f>VLOOKUP($D110,tbl_ERP[],7,0)</f>
        <v>984000000000</v>
      </c>
      <c r="V110" s="38" t="e">
        <f>INDEX(tbl_electricity[],MATCH($D$110,tbl_electricity[ERP identifier],0),MATCH(RP_wood!U$13,tbl_electricity[#Headers],0))</f>
        <v>#N/A</v>
      </c>
      <c r="W110" s="1"/>
    </row>
    <row r="111" spans="1:23" customFormat="1" x14ac:dyDescent="0.55000000000000004">
      <c r="A111" s="88"/>
      <c r="B111" s="25"/>
      <c r="C111" s="1"/>
      <c r="D111" s="1" t="s">
        <v>279</v>
      </c>
      <c r="E111" s="46" t="s">
        <v>48</v>
      </c>
      <c r="F111" s="5">
        <f>VLOOKUP($D111,tbl_ERP[],7,0)</f>
        <v>2548000000000</v>
      </c>
      <c r="G111" s="38">
        <f>INDEX(tbl_electricity[],MATCH($D$111,tbl_electricity[ERP identifier],0),MATCH(RP_wood!F$13,tbl_electricity[#Headers],0))</f>
        <v>0</v>
      </c>
      <c r="H111" s="1"/>
      <c r="I111" s="5">
        <f>VLOOKUP($D111,tbl_ERP[],7,0)</f>
        <v>2548000000000</v>
      </c>
      <c r="J111" s="38">
        <f>INDEX(tbl_electricity[],MATCH($D$111,tbl_electricity[ERP identifier],0),MATCH(RP_wood!I$13,tbl_electricity[#Headers],0))</f>
        <v>0</v>
      </c>
      <c r="K111" s="1"/>
      <c r="L111" s="5">
        <f>VLOOKUP($D111,tbl_ERP[],7,0)</f>
        <v>2548000000000</v>
      </c>
      <c r="M111" s="38">
        <f>INDEX(tbl_electricity[],MATCH($D$111,tbl_electricity[ERP identifier],0),MATCH(RP_wood!L$13,tbl_electricity[#Headers],0))</f>
        <v>0</v>
      </c>
      <c r="N111" s="1"/>
      <c r="O111" s="5">
        <f>VLOOKUP($D111,tbl_ERP[],7,0)</f>
        <v>2548000000000</v>
      </c>
      <c r="P111" s="38">
        <f>INDEX(tbl_electricity[],MATCH($D$111,tbl_electricity[ERP identifier],0),MATCH(RP_wood!O$13,tbl_electricity[#Headers],0))</f>
        <v>0</v>
      </c>
      <c r="Q111" s="1"/>
      <c r="R111" s="5">
        <f>VLOOKUP($D111,tbl_ERP[],7,0)</f>
        <v>2548000000000</v>
      </c>
      <c r="S111" s="38" t="e">
        <f>INDEX(tbl_electricity[],MATCH($D$111,tbl_electricity[ERP identifier],0),MATCH(RP_wood!R$13,tbl_electricity[#Headers],0))</f>
        <v>#N/A</v>
      </c>
      <c r="T111" s="1"/>
      <c r="U111" s="5">
        <f>VLOOKUP($D111,tbl_ERP[],7,0)</f>
        <v>2548000000000</v>
      </c>
      <c r="V111" s="38" t="e">
        <f>INDEX(tbl_electricity[],MATCH($D$111,tbl_electricity[ERP identifier],0),MATCH(RP_wood!U$13,tbl_electricity[#Headers],0))</f>
        <v>#N/A</v>
      </c>
      <c r="W111" s="1"/>
    </row>
    <row r="112" spans="1:23" customFormat="1" x14ac:dyDescent="0.55000000000000004">
      <c r="A112" s="88"/>
      <c r="B112" s="25"/>
      <c r="C112" s="1"/>
      <c r="D112" s="1" t="s">
        <v>116</v>
      </c>
      <c r="E112" s="46" t="s">
        <v>48</v>
      </c>
      <c r="F112" s="5">
        <f>VLOOKUP($D112,tbl_ERP[],7,0)</f>
        <v>1120000000000</v>
      </c>
      <c r="G112" s="38">
        <f>INDEX(tbl_electricity[],MATCH($D$112,tbl_electricity[ERP identifier],0),MATCH(RP_wood!F$13,tbl_electricity[#Headers],0))</f>
        <v>0.02</v>
      </c>
      <c r="H112" s="1"/>
      <c r="I112" s="5">
        <f>VLOOKUP($D112,tbl_ERP[],7,0)</f>
        <v>1120000000000</v>
      </c>
      <c r="J112" s="38">
        <f>INDEX(tbl_electricity[],MATCH($D$112,tbl_electricity[ERP identifier],0),MATCH(RP_wood!I$13,tbl_electricity[#Headers],0))</f>
        <v>0.02</v>
      </c>
      <c r="K112" s="1"/>
      <c r="L112" s="5">
        <f>VLOOKUP($D112,tbl_ERP[],7,0)</f>
        <v>1120000000000</v>
      </c>
      <c r="M112" s="38">
        <f>INDEX(tbl_electricity[],MATCH($D$112,tbl_electricity[ERP identifier],0),MATCH(RP_wood!L$13,tbl_electricity[#Headers],0))</f>
        <v>0.02</v>
      </c>
      <c r="N112" s="1"/>
      <c r="O112" s="5">
        <f>VLOOKUP($D112,tbl_ERP[],7,0)</f>
        <v>1120000000000</v>
      </c>
      <c r="P112" s="38">
        <v>0</v>
      </c>
      <c r="Q112" s="1"/>
      <c r="R112" s="5">
        <f>VLOOKUP($D112,tbl_ERP[],7,0)</f>
        <v>1120000000000</v>
      </c>
      <c r="S112" s="38" t="e">
        <f>INDEX(tbl_electricity[],MATCH($D$112,tbl_electricity[ERP identifier],0),MATCH(RP_wood!R$13,tbl_electricity[#Headers],0))</f>
        <v>#N/A</v>
      </c>
      <c r="T112" s="1"/>
      <c r="U112" s="5">
        <f>VLOOKUP($D112,tbl_ERP[],7,0)</f>
        <v>1120000000000</v>
      </c>
      <c r="V112" s="38" t="e">
        <f>INDEX(tbl_electricity[],MATCH($D$112,tbl_electricity[ERP identifier],0),MATCH(RP_wood!U$13,tbl_electricity[#Headers],0))</f>
        <v>#N/A</v>
      </c>
      <c r="W112" s="1"/>
    </row>
    <row r="113" spans="1:23" customFormat="1" x14ac:dyDescent="0.55000000000000004">
      <c r="A113" s="88"/>
      <c r="B113" s="25"/>
      <c r="C113" s="1"/>
      <c r="D113" s="1" t="s">
        <v>117</v>
      </c>
      <c r="E113" s="46" t="s">
        <v>48</v>
      </c>
      <c r="F113" s="5">
        <f>VLOOKUP($D113,tbl_ERP[],7,0)</f>
        <v>3669000000000</v>
      </c>
      <c r="G113" s="38">
        <f>INDEX(tbl_electricity[],MATCH($D$113,tbl_electricity[ERP identifier],0),MATCH(RP_wood!F$13,tbl_electricity[#Headers],0))</f>
        <v>0.64349999999999996</v>
      </c>
      <c r="H113" s="1"/>
      <c r="I113" s="5">
        <f>VLOOKUP($D113,tbl_ERP[],7,0)</f>
        <v>3669000000000</v>
      </c>
      <c r="J113" s="38">
        <f>INDEX(tbl_electricity[],MATCH($D$113,tbl_electricity[ERP identifier],0),MATCH(RP_wood!I$13,tbl_electricity[#Headers],0))</f>
        <v>0.64349999999999996</v>
      </c>
      <c r="K113" s="1"/>
      <c r="L113" s="5">
        <f>VLOOKUP($D113,tbl_ERP[],7,0)</f>
        <v>3669000000000</v>
      </c>
      <c r="M113" s="38">
        <f>INDEX(tbl_electricity[],MATCH($D$113,tbl_electricity[ERP identifier],0),MATCH(RP_wood!L$13,tbl_electricity[#Headers],0))</f>
        <v>0.38</v>
      </c>
      <c r="N113" s="1"/>
      <c r="O113" s="5">
        <f>VLOOKUP($D113,tbl_ERP[],7,0)</f>
        <v>3669000000000</v>
      </c>
      <c r="P113" s="38">
        <v>0</v>
      </c>
      <c r="Q113" s="1"/>
      <c r="R113" s="5">
        <f>VLOOKUP($D113,tbl_ERP[],7,0)</f>
        <v>3669000000000</v>
      </c>
      <c r="S113" s="38" t="e">
        <f>INDEX(tbl_electricity[],MATCH($D$113,tbl_electricity[ERP identifier],0),MATCH(RP_wood!R$13,tbl_electricity[#Headers],0))</f>
        <v>#N/A</v>
      </c>
      <c r="T113" s="1"/>
      <c r="U113" s="5">
        <f>VLOOKUP($D113,tbl_ERP[],7,0)</f>
        <v>3669000000000</v>
      </c>
      <c r="V113" s="38" t="e">
        <f>INDEX(tbl_electricity[],MATCH($D$113,tbl_electricity[ERP identifier],0),MATCH(RP_wood!U$13,tbl_electricity[#Headers],0))</f>
        <v>#N/A</v>
      </c>
      <c r="W113" s="1"/>
    </row>
    <row r="114" spans="1:23" customFormat="1" x14ac:dyDescent="0.55000000000000004">
      <c r="A114" s="88"/>
      <c r="B114" s="25"/>
      <c r="C114" s="1"/>
      <c r="D114" s="1" t="s">
        <v>280</v>
      </c>
      <c r="E114" s="46" t="s">
        <v>48</v>
      </c>
      <c r="F114" s="5">
        <f>VLOOKUP($D114,tbl_ERP[],7,0)</f>
        <v>20237444305392.715</v>
      </c>
      <c r="G114" s="38">
        <f>INDEX(tbl_electricity[],MATCH($D$114,tbl_electricity[ERP identifier],0),MATCH(RP_wood!F$13,tbl_electricity[#Headers],0))</f>
        <v>0</v>
      </c>
      <c r="H114" s="1"/>
      <c r="I114" s="5">
        <f>VLOOKUP($D114,tbl_ERP[],7,0)</f>
        <v>20237444305392.715</v>
      </c>
      <c r="J114" s="38">
        <f>INDEX(tbl_electricity[],MATCH($D$114,tbl_electricity[ERP identifier],0),MATCH(RP_wood!I$13,tbl_electricity[#Headers],0))</f>
        <v>0</v>
      </c>
      <c r="K114" s="1"/>
      <c r="L114" s="5">
        <f>VLOOKUP($D114,tbl_ERP[],7,0)</f>
        <v>20237444305392.715</v>
      </c>
      <c r="M114" s="38">
        <f>INDEX(tbl_electricity[],MATCH($D$114,tbl_electricity[ERP identifier],0),MATCH(RP_wood!L$13,tbl_electricity[#Headers],0))</f>
        <v>0</v>
      </c>
      <c r="N114" s="1"/>
      <c r="O114" s="5">
        <f>VLOOKUP($D114,tbl_ERP[],7,0)</f>
        <v>20237444305392.715</v>
      </c>
      <c r="P114" s="38">
        <f>INDEX(tbl_electricity[],MATCH($D$114,tbl_electricity[ERP identifier],0),MATCH(RP_wood!O$13,tbl_electricity[#Headers],0))</f>
        <v>0</v>
      </c>
      <c r="Q114" s="1"/>
      <c r="R114" s="5">
        <f>VLOOKUP($D114,tbl_ERP[],7,0)</f>
        <v>20237444305392.715</v>
      </c>
      <c r="S114" s="38" t="e">
        <f>INDEX(tbl_electricity[],MATCH($D$114,tbl_electricity[ERP identifier],0),MATCH(RP_wood!R$13,tbl_electricity[#Headers],0))</f>
        <v>#N/A</v>
      </c>
      <c r="T114" s="1"/>
      <c r="U114" s="5">
        <f>VLOOKUP($D114,tbl_ERP[],7,0)</f>
        <v>20237444305392.715</v>
      </c>
      <c r="V114" s="38" t="e">
        <f>INDEX(tbl_electricity[],MATCH($D$114,tbl_electricity[ERP identifier],0),MATCH(RP_wood!U$13,tbl_electricity[#Headers],0))</f>
        <v>#N/A</v>
      </c>
      <c r="W114" s="1"/>
    </row>
    <row r="115" spans="1:23" customFormat="1" x14ac:dyDescent="0.55000000000000004">
      <c r="A115" s="88"/>
      <c r="B115" s="25"/>
      <c r="C115" s="1"/>
      <c r="D115" s="1" t="s">
        <v>281</v>
      </c>
      <c r="E115" s="46" t="s">
        <v>48</v>
      </c>
      <c r="F115" s="5">
        <f>VLOOKUP($D115,tbl_ERP[],7,0)</f>
        <v>28108666791292.668</v>
      </c>
      <c r="G115" s="38">
        <f>INDEX(tbl_electricity[],MATCH($D$115,tbl_electricity[ERP identifier],0),MATCH(RP_wood!F$13,tbl_electricity[#Headers],0))</f>
        <v>1.8499999999999999E-2</v>
      </c>
      <c r="H115" s="1"/>
      <c r="I115" s="5">
        <f>VLOOKUP($D115,tbl_ERP[],7,0)</f>
        <v>28108666791292.668</v>
      </c>
      <c r="J115" s="38">
        <f>INDEX(tbl_electricity[],MATCH($D$115,tbl_electricity[ERP identifier],0),MATCH(RP_wood!I$13,tbl_electricity[#Headers],0))</f>
        <v>1.8499999999999999E-2</v>
      </c>
      <c r="K115" s="1"/>
      <c r="L115" s="5">
        <f>VLOOKUP($D115,tbl_ERP[],7,0)</f>
        <v>28108666791292.668</v>
      </c>
      <c r="M115" s="38">
        <f>INDEX(tbl_electricity[],MATCH($D$115,tbl_electricity[ERP identifier],0),MATCH(RP_wood!L$13,tbl_electricity[#Headers],0))</f>
        <v>0.5</v>
      </c>
      <c r="N115" s="1"/>
      <c r="O115" s="5">
        <f>VLOOKUP($D115,tbl_ERP[],7,0)</f>
        <v>28108666791292.668</v>
      </c>
      <c r="P115" s="38">
        <v>0</v>
      </c>
      <c r="Q115" s="1"/>
      <c r="R115" s="5">
        <f>VLOOKUP($D115,tbl_ERP[],7,0)</f>
        <v>28108666791292.668</v>
      </c>
      <c r="S115" s="38" t="e">
        <f>INDEX(tbl_electricity[],MATCH($D$115,tbl_electricity[ERP identifier],0),MATCH(RP_wood!R$13,tbl_electricity[#Headers],0))</f>
        <v>#N/A</v>
      </c>
      <c r="T115" s="1"/>
      <c r="U115" s="5">
        <f>VLOOKUP($D115,tbl_ERP[],7,0)</f>
        <v>28108666791292.668</v>
      </c>
      <c r="V115" s="38" t="e">
        <f>INDEX(tbl_electricity[],MATCH($D$115,tbl_electricity[ERP identifier],0),MATCH(RP_wood!U$13,tbl_electricity[#Headers],0))</f>
        <v>#N/A</v>
      </c>
      <c r="W115" s="1"/>
    </row>
    <row r="116" spans="1:23" customFormat="1" x14ac:dyDescent="0.55000000000000004">
      <c r="A116" s="88"/>
      <c r="B116" s="25"/>
      <c r="C116" s="1"/>
      <c r="D116" s="1"/>
      <c r="E116" s="4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customFormat="1" x14ac:dyDescent="0.55000000000000004">
      <c r="A117" s="88"/>
      <c r="B117" s="25"/>
      <c r="C117" s="1" t="s">
        <v>65</v>
      </c>
      <c r="D117" s="1" t="s">
        <v>148</v>
      </c>
      <c r="E117" s="46" t="s">
        <v>47</v>
      </c>
      <c r="F117" s="39">
        <f>F$29*INDEX(tbl_material[],MATCH(F$10,tbl_material[material],0),MATCH(RP_wood!$D$117,tbl_material[#Headers],0))+F$57*INDEX(tbl_material[],MATCH(F$11,tbl_material[material],0),MATCH(RP_wood!$D$117,tbl_material[#Headers],0))+F$85*INDEX(tbl_material[],MATCH(F$12,tbl_material[material],0),MATCH(RP_wood!$D$117,tbl_material[#Headers],0))</f>
        <v>286</v>
      </c>
      <c r="G117" s="1"/>
      <c r="H117" s="1"/>
      <c r="I117" s="39">
        <f>I$29*INDEX(tbl_material[],MATCH(I$10,tbl_material[material],0),MATCH(RP_wood!$D$117,tbl_material[#Headers],0))+I$57*INDEX(tbl_material[],MATCH(I$11,tbl_material[material],0),MATCH(RP_wood!$D$117,tbl_material[#Headers],0))+I$85*INDEX(tbl_material[],MATCH(I$12,tbl_material[material],0),MATCH(RP_wood!$D$117,tbl_material[#Headers],0))</f>
        <v>286</v>
      </c>
      <c r="J117" s="1"/>
      <c r="K117" s="1"/>
      <c r="L117" s="39">
        <f>L$29*INDEX(tbl_material[],MATCH(L$10,tbl_material[material],0),MATCH(RP_wood!$D$117,tbl_material[#Headers],0))+L$57*INDEX(tbl_material[],MATCH(L$11,tbl_material[material],0),MATCH(RP_wood!$D$117,tbl_material[#Headers],0))+L$85*INDEX(tbl_material[],MATCH(L$12,tbl_material[material],0),MATCH(RP_wood!$D$117,tbl_material[#Headers],0))</f>
        <v>286</v>
      </c>
      <c r="M117" s="1"/>
      <c r="N117" s="1"/>
      <c r="O117" s="39">
        <f>O$29*INDEX(tbl_material[],MATCH(O$10,tbl_material[material],0),MATCH(RP_wood!$D$117,tbl_material[#Headers],0))+O$57*INDEX(tbl_material[],MATCH(O$11,tbl_material[material],0),MATCH(RP_wood!$D$117,tbl_material[#Headers],0))+O$85*INDEX(tbl_material[],MATCH(O$12,tbl_material[material],0),MATCH(RP_wood!$D$117,tbl_material[#Headers],0))</f>
        <v>286</v>
      </c>
      <c r="P117" s="1"/>
      <c r="Q117" s="1"/>
      <c r="R117" s="39" t="e">
        <f>R$29*INDEX(tbl_material[],MATCH(R$10,tbl_material[material],0),MATCH(RP_wood!$D$117,tbl_material[#Headers],0))+R$57*INDEX(tbl_material[],MATCH(R$11,tbl_material[material],0),MATCH(RP_wood!$D$117,tbl_material[#Headers],0))+R$85*INDEX(tbl_material[],MATCH(R$12,tbl_material[material],0),MATCH(RP_wood!$D$117,tbl_material[#Headers],0))</f>
        <v>#N/A</v>
      </c>
      <c r="S117" s="1"/>
      <c r="T117" s="1"/>
      <c r="U117" s="39" t="e">
        <f>U$29*INDEX(tbl_material[],MATCH(U$10,tbl_material[material],0),MATCH(RP_wood!$D$117,tbl_material[#Headers],0))+U$57*INDEX(tbl_material[],MATCH(U$11,tbl_material[material],0),MATCH(RP_wood!$D$117,tbl_material[#Headers],0))+U$85*INDEX(tbl_material[],MATCH(U$12,tbl_material[material],0),MATCH(RP_wood!$D$117,tbl_material[#Headers],0))</f>
        <v>#N/A</v>
      </c>
      <c r="V117" s="1"/>
      <c r="W117" s="1"/>
    </row>
    <row r="118" spans="1:23" customFormat="1" x14ac:dyDescent="0.55000000000000004">
      <c r="A118" s="88"/>
      <c r="B118" s="25"/>
      <c r="C118" s="1" t="s">
        <v>65</v>
      </c>
      <c r="D118" s="1" t="s">
        <v>156</v>
      </c>
      <c r="E118" s="46" t="s">
        <v>47</v>
      </c>
      <c r="F118" s="39">
        <f>G131*(F133+F134)*heat_pump_factor</f>
        <v>0</v>
      </c>
      <c r="G118" s="1"/>
      <c r="H118" s="1"/>
      <c r="I118" s="39">
        <f>J131*(I133+I134)*heat_pump_factor</f>
        <v>0</v>
      </c>
      <c r="J118" s="1"/>
      <c r="K118" s="1"/>
      <c r="L118" s="39">
        <f>M131*(L133+L134)*heat_pump_factor</f>
        <v>2.1780000000000004</v>
      </c>
      <c r="M118" s="1"/>
      <c r="N118" s="1"/>
      <c r="O118" s="39">
        <f>P131*(O133+O134)*heat_pump_factor</f>
        <v>0</v>
      </c>
      <c r="P118" s="1"/>
      <c r="Q118" s="1"/>
      <c r="R118" s="39" t="e">
        <f>S131*(R133+R134)*heat_pump_factor</f>
        <v>#N/A</v>
      </c>
      <c r="S118" s="1"/>
      <c r="T118" s="1"/>
      <c r="U118" s="39" t="e">
        <f>V131*(U133+U134)*heat_pump_factor</f>
        <v>#N/A</v>
      </c>
      <c r="V118" s="1"/>
      <c r="W118" s="1"/>
    </row>
    <row r="119" spans="1:23" customFormat="1" x14ac:dyDescent="0.55000000000000004">
      <c r="A119" s="88"/>
      <c r="B119" s="25"/>
      <c r="C119" s="1" t="s">
        <v>65</v>
      </c>
      <c r="D119" s="1" t="s">
        <v>154</v>
      </c>
      <c r="E119" s="46" t="s">
        <v>47</v>
      </c>
      <c r="F119" s="39">
        <f>F$29*INDEX(tbl_material[],MATCH(F$10,tbl_material[material],0),MATCH(RP_wood!$D$119,tbl_material[#Headers],0))+F$57*INDEX(tbl_material[],MATCH(F$11,tbl_material[material],0),MATCH(RP_wood!$D$119,tbl_material[#Headers],0))+F$85*INDEX(tbl_material[],MATCH(F$12,tbl_material[material],0),MATCH(RP_wood!$D$119,tbl_material[#Headers],0))</f>
        <v>51.7</v>
      </c>
      <c r="G119" s="1"/>
      <c r="H119" s="1"/>
      <c r="I119" s="39">
        <f>I$29*INDEX(tbl_material[],MATCH(I$10,tbl_material[material],0),MATCH(RP_wood!$D$119,tbl_material[#Headers],0))+I$57*INDEX(tbl_material[],MATCH(I$11,tbl_material[material],0),MATCH(RP_wood!$D$119,tbl_material[#Headers],0))+I$85*INDEX(tbl_material[],MATCH(I$12,tbl_material[material],0),MATCH(RP_wood!$D$119,tbl_material[#Headers],0))</f>
        <v>54.5</v>
      </c>
      <c r="J119" s="1"/>
      <c r="K119" s="1"/>
      <c r="L119" s="39">
        <f>L$29*INDEX(tbl_material[],MATCH(L$10,tbl_material[material],0),MATCH(RP_wood!$D$119,tbl_material[#Headers],0))+L$57*INDEX(tbl_material[],MATCH(L$11,tbl_material[material],0),MATCH(RP_wood!$D$119,tbl_material[#Headers],0))+L$85*INDEX(tbl_material[],MATCH(L$12,tbl_material[material],0),MATCH(RP_wood!$D$119,tbl_material[#Headers],0))</f>
        <v>51.7</v>
      </c>
      <c r="M119" s="1"/>
      <c r="N119" s="1"/>
      <c r="O119" s="39">
        <f>O$29*INDEX(tbl_material[],MATCH(O$10,tbl_material[material],0),MATCH(RP_wood!$D$119,tbl_material[#Headers],0))+O$57*INDEX(tbl_material[],MATCH(O$11,tbl_material[material],0),MATCH(RP_wood!$D$119,tbl_material[#Headers],0))+O$85*INDEX(tbl_material[],MATCH(O$12,tbl_material[material],0),MATCH(RP_wood!$D$119,tbl_material[#Headers],0))</f>
        <v>51.7</v>
      </c>
      <c r="P119" s="1"/>
      <c r="Q119" s="1"/>
      <c r="R119" s="39" t="e">
        <f>R$29*INDEX(tbl_material[],MATCH(R$10,tbl_material[material],0),MATCH(RP_wood!$D$119,tbl_material[#Headers],0))+R$57*INDEX(tbl_material[],MATCH(R$11,tbl_material[material],0),MATCH(RP_wood!$D$119,tbl_material[#Headers],0))+R$85*INDEX(tbl_material[],MATCH(R$12,tbl_material[material],0),MATCH(RP_wood!$D$119,tbl_material[#Headers],0))</f>
        <v>#N/A</v>
      </c>
      <c r="S119" s="1"/>
      <c r="T119" s="1"/>
      <c r="U119" s="39" t="e">
        <f>U$29*INDEX(tbl_material[],MATCH(U$10,tbl_material[material],0),MATCH(RP_wood!$D$119,tbl_material[#Headers],0))+U$57*INDEX(tbl_material[],MATCH(U$11,tbl_material[material],0),MATCH(RP_wood!$D$119,tbl_material[#Headers],0))+U$85*INDEX(tbl_material[],MATCH(U$12,tbl_material[material],0),MATCH(RP_wood!$D$119,tbl_material[#Headers],0))</f>
        <v>#N/A</v>
      </c>
      <c r="V119" s="1"/>
      <c r="W119" s="1"/>
    </row>
    <row r="120" spans="1:23" customFormat="1" x14ac:dyDescent="0.55000000000000004">
      <c r="A120" s="88"/>
      <c r="B120" s="1"/>
      <c r="C120" s="1" t="s">
        <v>65</v>
      </c>
      <c r="D120" s="1" t="s">
        <v>106</v>
      </c>
      <c r="E120" s="46" t="s">
        <v>47</v>
      </c>
      <c r="F120" s="26">
        <f>F117+F118+F119</f>
        <v>337.7</v>
      </c>
      <c r="G120" s="1"/>
      <c r="H120" s="1"/>
      <c r="I120" s="26">
        <f>I117+I118+I119</f>
        <v>340.5</v>
      </c>
      <c r="J120" s="1"/>
      <c r="K120" s="1"/>
      <c r="L120" s="26">
        <f>L117+L118+L119</f>
        <v>339.87799999999999</v>
      </c>
      <c r="M120" s="1"/>
      <c r="N120" s="1"/>
      <c r="O120" s="26">
        <f>O117+O118+O119</f>
        <v>337.7</v>
      </c>
      <c r="P120" s="1"/>
      <c r="Q120" s="1"/>
      <c r="R120" s="26" t="e">
        <f>R117+R118+R119</f>
        <v>#N/A</v>
      </c>
      <c r="S120" s="1"/>
      <c r="T120" s="1"/>
      <c r="U120" s="26" t="e">
        <f>U117+U118+U119</f>
        <v>#N/A</v>
      </c>
      <c r="V120" s="1"/>
      <c r="W120" s="1"/>
    </row>
    <row r="121" spans="1:23" customFormat="1" x14ac:dyDescent="0.55000000000000004">
      <c r="A121" s="88"/>
      <c r="B121" s="1"/>
      <c r="C121" s="1"/>
      <c r="D121" s="1"/>
      <c r="E121" s="4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customFormat="1" ht="14.5" customHeight="1" x14ac:dyDescent="0.65">
      <c r="A122" s="88"/>
      <c r="B122" s="9" t="s">
        <v>31</v>
      </c>
      <c r="C122" s="3" t="s">
        <v>43</v>
      </c>
      <c r="D122" s="1" t="s">
        <v>41</v>
      </c>
      <c r="E122" s="25" t="s">
        <v>1</v>
      </c>
      <c r="F122" s="6">
        <f>F120/lifetime_wood*(G105/F105+G106/F106+G107/F107+G108/F108+G109/F109+G110/F110+G111/F111+G112/F112+G113/F113+G114/F114+G115/F115)</f>
        <v>3.4746134830186673E-12</v>
      </c>
      <c r="G122" s="1"/>
      <c r="H122" s="1"/>
      <c r="I122" s="6">
        <f>I120/lifetime_wood*(J105/I105+J106/I106+J107/I107+J108/I108+J109/I109+J110/I110+J111/I111+J112/I112+J113/I113+J114/I114+J115/I115)</f>
        <v>3.5034228337810372E-12</v>
      </c>
      <c r="J122" s="1"/>
      <c r="K122" s="1"/>
      <c r="L122" s="6">
        <f>L120/lifetime_wood*(M105/L105+M106/L106+M107/L107+M108/L108+M109/L109+M110/L110+M111/L111+M112/L112+M113/L113+M114/L114+M115/L115)</f>
        <v>3.0957621935564555E-12</v>
      </c>
      <c r="M122" s="1"/>
      <c r="N122" s="1"/>
      <c r="O122" s="6">
        <f>O120/lifetime_wood*(P105/O105+P106/O106+P107/O107+P108/O108+P109/O109+P110/O110+P111/O111+P112/O112+P113/O113+P114/O114+P115/O115)</f>
        <v>1.7848694798905748E-11</v>
      </c>
      <c r="P122" s="1"/>
      <c r="Q122" s="1"/>
      <c r="R122" s="6" t="e">
        <f>R120/lifetime_wood*(S105/R105+S106/R106+S107/R107+S108/R108+S109/R109+S110/R110+S111/R111+S112/R112+S113/R113+S114/R114+S115/R115)</f>
        <v>#N/A</v>
      </c>
      <c r="S122" s="1"/>
      <c r="T122" s="1"/>
      <c r="U122" s="6" t="e">
        <f>U120/lifetime_wood*(V105/U105+V106/U106+V107/U107+V108/U108+V109/U109+V110/U110+V111/U111+V112/U112+V113/U113+V114/U114+V115/U115)</f>
        <v>#N/A</v>
      </c>
      <c r="V122" s="1"/>
      <c r="W122" s="1"/>
    </row>
    <row r="125" spans="1:23" customFormat="1" ht="14.5" customHeight="1" x14ac:dyDescent="0.55000000000000004">
      <c r="A125" s="89" t="s">
        <v>40</v>
      </c>
      <c r="B125" s="46" t="s">
        <v>49</v>
      </c>
      <c r="C125" s="1" t="s">
        <v>40</v>
      </c>
      <c r="D125" s="1"/>
      <c r="E125" s="46"/>
      <c r="F125" s="1"/>
      <c r="G125" s="1" t="s">
        <v>67</v>
      </c>
      <c r="H125" s="1"/>
      <c r="I125" s="1"/>
      <c r="J125" s="1" t="s">
        <v>67</v>
      </c>
      <c r="K125" s="1"/>
      <c r="L125" s="1"/>
      <c r="M125" s="1" t="s">
        <v>67</v>
      </c>
      <c r="N125" s="1"/>
      <c r="O125" s="1"/>
      <c r="P125" s="1" t="s">
        <v>67</v>
      </c>
      <c r="Q125" s="1"/>
      <c r="R125" s="1"/>
      <c r="S125" s="1" t="s">
        <v>67</v>
      </c>
      <c r="T125" s="1"/>
      <c r="U125" s="1"/>
      <c r="V125" s="1" t="s">
        <v>67</v>
      </c>
      <c r="W125" s="1"/>
    </row>
    <row r="126" spans="1:23" customFormat="1" x14ac:dyDescent="0.55000000000000004">
      <c r="A126" s="89"/>
      <c r="B126" s="25" t="s">
        <v>10</v>
      </c>
      <c r="C126" s="1" t="s">
        <v>26</v>
      </c>
      <c r="D126" t="s">
        <v>118</v>
      </c>
      <c r="E126" s="46" t="s">
        <v>48</v>
      </c>
      <c r="F126" s="5">
        <f>VLOOKUP($D126,tbl_ERP[],7,0)</f>
        <v>60153880670886.164</v>
      </c>
      <c r="G126" s="39">
        <f>INDEX(tbl_heat[],MATCH($D$126,tbl_heat[ERP identifier],0),MATCH(RP_wood!F$14,tbl_heat[#Headers],0))</f>
        <v>0.5</v>
      </c>
      <c r="H126" s="39"/>
      <c r="I126" s="5">
        <f>VLOOKUP($D126,tbl_ERP[],7,0)</f>
        <v>60153880670886.164</v>
      </c>
      <c r="J126" s="39">
        <f>INDEX(tbl_heat[],MATCH($D$126,tbl_heat[ERP identifier],0),MATCH(RP_wood!I$14,tbl_heat[#Headers],0))</f>
        <v>0.5</v>
      </c>
      <c r="K126" s="39"/>
      <c r="L126" s="5">
        <f>VLOOKUP($D126,tbl_ERP[],7,0)</f>
        <v>60153880670886.164</v>
      </c>
      <c r="M126" s="39">
        <f>INDEX(tbl_heat[],MATCH($D$126,tbl_heat[ERP identifier],0),MATCH(RP_wood!L$14,tbl_heat[#Headers],0))</f>
        <v>0</v>
      </c>
      <c r="N126" s="39"/>
      <c r="O126" s="5">
        <f>VLOOKUP($D126,tbl_ERP[],7,0)</f>
        <v>60153880670886.164</v>
      </c>
      <c r="P126" s="39">
        <v>0</v>
      </c>
      <c r="Q126" s="39"/>
      <c r="R126" s="5">
        <f>VLOOKUP($D126,tbl_ERP[],7,0)</f>
        <v>60153880670886.164</v>
      </c>
      <c r="S126" s="39" t="e">
        <f>INDEX(tbl_heat[],MATCH($D$126,tbl_heat[ERP identifier],0),MATCH(RP_wood!R$14,tbl_heat[#Headers],0))</f>
        <v>#N/A</v>
      </c>
      <c r="T126" s="39"/>
      <c r="U126" s="5">
        <f>VLOOKUP($D126,tbl_ERP[],7,0)</f>
        <v>60153880670886.164</v>
      </c>
      <c r="V126" s="39" t="e">
        <f>INDEX(tbl_heat[],MATCH($D$126,tbl_heat[ERP identifier],0),MATCH(RP_wood!U$14,tbl_heat[#Headers],0))</f>
        <v>#N/A</v>
      </c>
      <c r="W126" s="39"/>
    </row>
    <row r="127" spans="1:23" customFormat="1" x14ac:dyDescent="0.55000000000000004">
      <c r="A127" s="89"/>
      <c r="B127" s="25"/>
      <c r="C127" s="1"/>
      <c r="D127" t="s">
        <v>282</v>
      </c>
      <c r="E127" s="46" t="s">
        <v>48</v>
      </c>
      <c r="F127" s="5">
        <f>VLOOKUP($D127,tbl_ERP[],7,0)</f>
        <v>35511568623903.633</v>
      </c>
      <c r="G127" s="39">
        <f>INDEX(tbl_heat[],MATCH($D$127,tbl_heat[ERP identifier],0),MATCH(RP_wood!F$14,tbl_heat[#Headers],0))</f>
        <v>0</v>
      </c>
      <c r="H127" s="39"/>
      <c r="I127" s="5">
        <f>VLOOKUP($D127,tbl_ERP[],7,0)</f>
        <v>35511568623903.633</v>
      </c>
      <c r="J127" s="39">
        <f>INDEX(tbl_heat[],MATCH($D$127,tbl_heat[ERP identifier],0),MATCH(RP_wood!I$14,tbl_heat[#Headers],0))</f>
        <v>0</v>
      </c>
      <c r="K127" s="39"/>
      <c r="L127" s="5">
        <f>VLOOKUP($D127,tbl_ERP[],7,0)</f>
        <v>35511568623903.633</v>
      </c>
      <c r="M127" s="39">
        <f>INDEX(tbl_heat[],MATCH($D$127,tbl_heat[ERP identifier],0),MATCH(RP_wood!L$14,tbl_heat[#Headers],0))</f>
        <v>0</v>
      </c>
      <c r="N127" s="39"/>
      <c r="O127" s="5">
        <f>VLOOKUP($D127,tbl_ERP[],7,0)</f>
        <v>35511568623903.633</v>
      </c>
      <c r="P127" s="39">
        <f>INDEX(tbl_heat[],MATCH($D$127,tbl_heat[ERP identifier],0),MATCH(RP_wood!O$14,tbl_heat[#Headers],0))</f>
        <v>0</v>
      </c>
      <c r="Q127" s="39"/>
      <c r="R127" s="5">
        <f>VLOOKUP($D127,tbl_ERP[],7,0)</f>
        <v>35511568623903.633</v>
      </c>
      <c r="S127" s="39" t="e">
        <f>INDEX(tbl_heat[],MATCH($D$127,tbl_heat[ERP identifier],0),MATCH(RP_wood!R$14,tbl_heat[#Headers],0))</f>
        <v>#N/A</v>
      </c>
      <c r="T127" s="39"/>
      <c r="U127" s="5">
        <f>VLOOKUP($D127,tbl_ERP[],7,0)</f>
        <v>35511568623903.633</v>
      </c>
      <c r="V127" s="39" t="e">
        <f>INDEX(tbl_heat[],MATCH($D$127,tbl_heat[ERP identifier],0),MATCH(RP_wood!U$14,tbl_heat[#Headers],0))</f>
        <v>#N/A</v>
      </c>
      <c r="W127" s="39"/>
    </row>
    <row r="128" spans="1:23" customFormat="1" x14ac:dyDescent="0.55000000000000004">
      <c r="A128" s="89"/>
      <c r="B128" s="25"/>
      <c r="C128" s="1"/>
      <c r="D128" t="s">
        <v>151</v>
      </c>
      <c r="E128" s="46" t="s">
        <v>48</v>
      </c>
      <c r="F128" s="5">
        <f>VLOOKUP($D128,tbl_ERP[],7,0)</f>
        <v>33059022119967.516</v>
      </c>
      <c r="G128" s="39">
        <f>INDEX(tbl_heat[],MATCH($D$128,tbl_heat[ERP identifier],0),MATCH(RP_wood!F$14,tbl_heat[#Headers],0))</f>
        <v>0.5</v>
      </c>
      <c r="H128" s="39"/>
      <c r="I128" s="5">
        <f>VLOOKUP($D128,tbl_ERP[],7,0)</f>
        <v>33059022119967.516</v>
      </c>
      <c r="J128" s="39">
        <f>INDEX(tbl_heat[],MATCH($D$128,tbl_heat[ERP identifier],0),MATCH(RP_wood!I$14,tbl_heat[#Headers],0))</f>
        <v>0.5</v>
      </c>
      <c r="K128" s="39"/>
      <c r="L128" s="5">
        <f>VLOOKUP($D128,tbl_ERP[],7,0)</f>
        <v>33059022119967.516</v>
      </c>
      <c r="M128" s="39">
        <f>INDEX(tbl_heat[],MATCH($D$128,tbl_heat[ERP identifier],0),MATCH(RP_wood!L$14,tbl_heat[#Headers],0))</f>
        <v>0</v>
      </c>
      <c r="N128" s="39"/>
      <c r="O128" s="5">
        <f>VLOOKUP($D128,tbl_ERP[],7,0)</f>
        <v>33059022119967.516</v>
      </c>
      <c r="P128" s="39">
        <v>1</v>
      </c>
      <c r="Q128" s="39"/>
      <c r="R128" s="5">
        <f>VLOOKUP($D128,tbl_ERP[],7,0)</f>
        <v>33059022119967.516</v>
      </c>
      <c r="S128" s="39" t="e">
        <f>INDEX(tbl_heat[],MATCH($D$128,tbl_heat[ERP identifier],0),MATCH(RP_wood!R$14,tbl_heat[#Headers],0))</f>
        <v>#N/A</v>
      </c>
      <c r="T128" s="39"/>
      <c r="U128" s="5">
        <f>VLOOKUP($D128,tbl_ERP[],7,0)</f>
        <v>33059022119967.516</v>
      </c>
      <c r="V128" s="39" t="e">
        <f>INDEX(tbl_heat[],MATCH($D$128,tbl_heat[ERP identifier],0),MATCH(RP_wood!U$14,tbl_heat[#Headers],0))</f>
        <v>#N/A</v>
      </c>
      <c r="W128" s="39"/>
    </row>
    <row r="129" spans="1:23" customFormat="1" x14ac:dyDescent="0.55000000000000004">
      <c r="A129" s="89"/>
      <c r="B129" s="25"/>
      <c r="C129" s="1"/>
      <c r="D129" t="s">
        <v>120</v>
      </c>
      <c r="E129" s="46" t="s">
        <v>48</v>
      </c>
      <c r="F129" s="5">
        <f>VLOOKUP($D129,tbl_ERP[],7,0)</f>
        <v>4480000000000</v>
      </c>
      <c r="G129" s="39">
        <f>INDEX(tbl_heat[],MATCH($D$129,tbl_heat[ERP identifier],0),MATCH(RP_wood!F$14,tbl_heat[#Headers],0))</f>
        <v>0</v>
      </c>
      <c r="H129" s="39"/>
      <c r="I129" s="5">
        <f>VLOOKUP($D129,tbl_ERP[],7,0)</f>
        <v>4480000000000</v>
      </c>
      <c r="J129" s="39">
        <f>INDEX(tbl_heat[],MATCH($D$129,tbl_heat[ERP identifier],0),MATCH(RP_wood!I$14,tbl_heat[#Headers],0))</f>
        <v>0</v>
      </c>
      <c r="K129" s="39"/>
      <c r="L129" s="5">
        <f>VLOOKUP($D129,tbl_ERP[],7,0)</f>
        <v>4480000000000</v>
      </c>
      <c r="M129" s="39">
        <f>INDEX(tbl_heat[],MATCH($D$129,tbl_heat[ERP identifier],0),MATCH(RP_wood!L$14,tbl_heat[#Headers],0))</f>
        <v>0</v>
      </c>
      <c r="N129" s="39"/>
      <c r="O129" s="5">
        <f>VLOOKUP($D129,tbl_ERP[],7,0)</f>
        <v>4480000000000</v>
      </c>
      <c r="P129" s="39">
        <f>INDEX(tbl_heat[],MATCH($D$129,tbl_heat[ERP identifier],0),MATCH(RP_wood!O$14,tbl_heat[#Headers],0))</f>
        <v>0</v>
      </c>
      <c r="Q129" s="39"/>
      <c r="R129" s="5">
        <f>VLOOKUP($D129,tbl_ERP[],7,0)</f>
        <v>4480000000000</v>
      </c>
      <c r="S129" s="39" t="e">
        <f>INDEX(tbl_heat[],MATCH($D$129,tbl_heat[ERP identifier],0),MATCH(RP_wood!R$14,tbl_heat[#Headers],0))</f>
        <v>#N/A</v>
      </c>
      <c r="T129" s="39"/>
      <c r="U129" s="5">
        <f>VLOOKUP($D129,tbl_ERP[],7,0)</f>
        <v>4480000000000</v>
      </c>
      <c r="V129" s="39" t="e">
        <f>INDEX(tbl_heat[],MATCH($D$129,tbl_heat[ERP identifier],0),MATCH(RP_wood!U$14,tbl_heat[#Headers],0))</f>
        <v>#N/A</v>
      </c>
      <c r="W129" s="39"/>
    </row>
    <row r="130" spans="1:23" customFormat="1" x14ac:dyDescent="0.55000000000000004">
      <c r="A130" s="89"/>
      <c r="B130" s="25"/>
      <c r="C130" s="1"/>
      <c r="D130" t="s">
        <v>119</v>
      </c>
      <c r="E130" s="46" t="s">
        <v>48</v>
      </c>
      <c r="F130" s="5">
        <f>VLOOKUP($D130,tbl_ERP[],7,0)</f>
        <v>838095238095238.13</v>
      </c>
      <c r="G130" s="39">
        <f>INDEX(tbl_heat[],MATCH($D$130,tbl_heat[ERP identifier],0),MATCH(RP_wood!F$14,tbl_heat[#Headers],0))</f>
        <v>0</v>
      </c>
      <c r="H130" s="39"/>
      <c r="I130" s="5">
        <f>VLOOKUP($D130,tbl_ERP[],7,0)</f>
        <v>838095238095238.13</v>
      </c>
      <c r="J130" s="39">
        <f>INDEX(tbl_heat[],MATCH($D$130,tbl_heat[ERP identifier],0),MATCH(RP_wood!I$14,tbl_heat[#Headers],0))</f>
        <v>0</v>
      </c>
      <c r="K130" s="39"/>
      <c r="L130" s="5">
        <f>VLOOKUP($D130,tbl_ERP[],7,0)</f>
        <v>838095238095238.13</v>
      </c>
      <c r="M130" s="39">
        <f>INDEX(tbl_heat[],MATCH($D$130,tbl_heat[ERP identifier],0),MATCH(RP_wood!L$14,tbl_heat[#Headers],0))</f>
        <v>0.5</v>
      </c>
      <c r="N130" s="39"/>
      <c r="O130" s="5">
        <f>VLOOKUP($D130,tbl_ERP[],7,0)</f>
        <v>838095238095238.13</v>
      </c>
      <c r="P130" s="39">
        <f>INDEX(tbl_heat[],MATCH($D$130,tbl_heat[ERP identifier],0),MATCH(RP_wood!O$14,tbl_heat[#Headers],0))</f>
        <v>0</v>
      </c>
      <c r="Q130" s="39"/>
      <c r="R130" s="5">
        <f>VLOOKUP($D130,tbl_ERP[],7,0)</f>
        <v>838095238095238.13</v>
      </c>
      <c r="S130" s="39" t="e">
        <f>INDEX(tbl_heat[],MATCH($D$130,tbl_heat[ERP identifier],0),MATCH(RP_wood!R$14,tbl_heat[#Headers],0))</f>
        <v>#N/A</v>
      </c>
      <c r="T130" s="39"/>
      <c r="U130" s="5">
        <f>VLOOKUP($D130,tbl_ERP[],7,0)</f>
        <v>838095238095238.13</v>
      </c>
      <c r="V130" s="39" t="e">
        <f>INDEX(tbl_heat[],MATCH($D$130,tbl_heat[ERP identifier],0),MATCH(RP_wood!U$14,tbl_heat[#Headers],0))</f>
        <v>#N/A</v>
      </c>
      <c r="W130" s="39"/>
    </row>
    <row r="131" spans="1:23" customFormat="1" x14ac:dyDescent="0.55000000000000004">
      <c r="A131" s="89"/>
      <c r="B131" s="25"/>
      <c r="C131" s="1"/>
      <c r="D131" t="s">
        <v>153</v>
      </c>
      <c r="E131" s="46"/>
      <c r="F131" s="5"/>
      <c r="G131" s="39">
        <f>INDEX(tbl_heat[],MATCH($D$131,tbl_heat[ERP identifier],0),MATCH(RP_wood!F$14,tbl_heat[#Headers],0))</f>
        <v>0</v>
      </c>
      <c r="H131" s="39"/>
      <c r="I131" s="5"/>
      <c r="J131" s="39">
        <f>INDEX(tbl_heat[],MATCH($D$131,tbl_heat[ERP identifier],0),MATCH(RP_wood!I$14,tbl_heat[#Headers],0))</f>
        <v>0</v>
      </c>
      <c r="K131" s="39"/>
      <c r="L131" s="5"/>
      <c r="M131" s="39">
        <f>INDEX(tbl_heat[],MATCH($D$131,tbl_heat[ERP identifier],0),MATCH(RP_wood!L$14,tbl_heat[#Headers],0))</f>
        <v>0.5</v>
      </c>
      <c r="N131" s="39"/>
      <c r="O131" s="5"/>
      <c r="P131" s="39">
        <f>INDEX(tbl_heat[],MATCH($D$131,tbl_heat[ERP identifier],0),MATCH(RP_wood!O$14,tbl_heat[#Headers],0))</f>
        <v>0</v>
      </c>
      <c r="Q131" s="39"/>
      <c r="R131" s="5"/>
      <c r="S131" s="39" t="e">
        <f>INDEX(tbl_heat[],MATCH($D$131,tbl_heat[ERP identifier],0),MATCH(RP_wood!R$14,tbl_heat[#Headers],0))</f>
        <v>#N/A</v>
      </c>
      <c r="T131" s="39"/>
      <c r="U131" s="5"/>
      <c r="V131" s="39" t="e">
        <f>INDEX(tbl_heat[],MATCH($D$131,tbl_heat[ERP identifier],0),MATCH(RP_wood!U$14,tbl_heat[#Headers],0))</f>
        <v>#N/A</v>
      </c>
      <c r="W131" s="39"/>
    </row>
    <row r="132" spans="1:23" customFormat="1" x14ac:dyDescent="0.55000000000000004">
      <c r="A132" s="89"/>
      <c r="B132" s="25"/>
      <c r="C132" s="1"/>
      <c r="D132" s="1"/>
      <c r="E132" s="4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customFormat="1" x14ac:dyDescent="0.55000000000000004">
      <c r="A133" s="89"/>
      <c r="B133" s="25"/>
      <c r="C133" s="1" t="s">
        <v>64</v>
      </c>
      <c r="D133" s="1" t="s">
        <v>149</v>
      </c>
      <c r="E133" s="46" t="s">
        <v>47</v>
      </c>
      <c r="F133" s="39">
        <f>F$29*INDEX(tbl_material[],MATCH(F$10,tbl_material[material],0),MATCH(RP_wood!$D$133,tbl_material[#Headers],0))+F$57*INDEX(tbl_material[],MATCH(F$11,tbl_material[material],0),MATCH(RP_wood!$D$133,tbl_material[#Headers],0))+F$85*INDEX(tbl_material[],MATCH(F$12,tbl_material[material],0),MATCH(RP_wood!$D$133,tbl_material[#Headers],0))</f>
        <v>13.200000000000001</v>
      </c>
      <c r="G133" s="1"/>
      <c r="H133" s="1"/>
      <c r="I133" s="39">
        <f>I$29*INDEX(tbl_material[],MATCH(I$10,tbl_material[material],0),MATCH(RP_wood!$D$133,tbl_material[#Headers],0))+I$57*INDEX(tbl_material[],MATCH(I$11,tbl_material[material],0),MATCH(RP_wood!$D$133,tbl_material[#Headers],0))+I$85*INDEX(tbl_material[],MATCH(I$12,tbl_material[material],0),MATCH(RP_wood!$D$133,tbl_material[#Headers],0))</f>
        <v>13.200000000000001</v>
      </c>
      <c r="J133" s="1"/>
      <c r="K133" s="1"/>
      <c r="L133" s="39">
        <f>L$29*INDEX(tbl_material[],MATCH(L$10,tbl_material[material],0),MATCH(RP_wood!$D$133,tbl_material[#Headers],0))+L$57*INDEX(tbl_material[],MATCH(L$11,tbl_material[material],0),MATCH(RP_wood!$D$133,tbl_material[#Headers],0))+L$85*INDEX(tbl_material[],MATCH(L$12,tbl_material[material],0),MATCH(RP_wood!$D$133,tbl_material[#Headers],0))</f>
        <v>13.200000000000001</v>
      </c>
      <c r="M133" s="1"/>
      <c r="N133" s="1"/>
      <c r="O133" s="39">
        <f>O$29*INDEX(tbl_material[],MATCH(O$10,tbl_material[material],0),MATCH(RP_wood!$D$133,tbl_material[#Headers],0))+O$57*INDEX(tbl_material[],MATCH(O$11,tbl_material[material],0),MATCH(RP_wood!$D$133,tbl_material[#Headers],0))+O$85*INDEX(tbl_material[],MATCH(O$12,tbl_material[material],0),MATCH(RP_wood!$D$133,tbl_material[#Headers],0))</f>
        <v>13.200000000000001</v>
      </c>
      <c r="P133" s="1"/>
      <c r="Q133" s="1"/>
      <c r="R133" s="39" t="e">
        <f>R$29*INDEX(tbl_material[],MATCH(R$10,tbl_material[material],0),MATCH(RP_wood!$D$133,tbl_material[#Headers],0))+R$57*INDEX(tbl_material[],MATCH(R$11,tbl_material[material],0),MATCH(RP_wood!$D$133,tbl_material[#Headers],0))+R$85*INDEX(tbl_material[],MATCH(R$12,tbl_material[material],0),MATCH(RP_wood!$D$133,tbl_material[#Headers],0))</f>
        <v>#N/A</v>
      </c>
      <c r="S133" s="1"/>
      <c r="T133" s="1"/>
      <c r="U133" s="39" t="e">
        <f>U$29*INDEX(tbl_material[],MATCH(U$10,tbl_material[material],0),MATCH(RP_wood!$D$133,tbl_material[#Headers],0))+U$57*INDEX(tbl_material[],MATCH(U$11,tbl_material[material],0),MATCH(RP_wood!$D$133,tbl_material[#Headers],0))+U$85*INDEX(tbl_material[],MATCH(U$12,tbl_material[material],0),MATCH(RP_wood!$D$133,tbl_material[#Headers],0))</f>
        <v>#N/A</v>
      </c>
      <c r="V133" s="1"/>
      <c r="W133" s="1"/>
    </row>
    <row r="134" spans="1:23" customFormat="1" x14ac:dyDescent="0.55000000000000004">
      <c r="A134" s="89"/>
      <c r="B134" s="25"/>
      <c r="C134" s="1" t="s">
        <v>64</v>
      </c>
      <c r="D134" s="1" t="s">
        <v>155</v>
      </c>
      <c r="E134" s="46" t="s">
        <v>47</v>
      </c>
      <c r="F134" s="39">
        <f>F$29*INDEX(tbl_material[],MATCH(F$10,tbl_material[material],0),MATCH(RP_wood!$D$134,tbl_material[#Headers],0))+F$57*INDEX(tbl_material[],MATCH(F$11,tbl_material[material],0),MATCH(RP_wood!$D$134,tbl_material[#Headers],0))+F$85*INDEX(tbl_material[],MATCH(F$12,tbl_material[material],0),MATCH(RP_wood!$D$134,tbl_material[#Headers],0))</f>
        <v>0</v>
      </c>
      <c r="G134" s="1"/>
      <c r="H134" s="1"/>
      <c r="I134" s="39">
        <f>I$29*INDEX(tbl_material[],MATCH(I$10,tbl_material[material],0),MATCH(RP_wood!$D$134,tbl_material[#Headers],0))+I$57*INDEX(tbl_material[],MATCH(I$11,tbl_material[material],0),MATCH(RP_wood!$D$134,tbl_material[#Headers],0))+I$85*INDEX(tbl_material[],MATCH(I$12,tbl_material[material],0),MATCH(RP_wood!$D$134,tbl_material[#Headers],0))</f>
        <v>0</v>
      </c>
      <c r="J134" s="1"/>
      <c r="K134" s="1"/>
      <c r="L134" s="39">
        <f>L$29*INDEX(tbl_material[],MATCH(L$10,tbl_material[material],0),MATCH(RP_wood!$D$134,tbl_material[#Headers],0))+L$57*INDEX(tbl_material[],MATCH(L$11,tbl_material[material],0),MATCH(RP_wood!$D$134,tbl_material[#Headers],0))+L$85*INDEX(tbl_material[],MATCH(L$12,tbl_material[material],0),MATCH(RP_wood!$D$134,tbl_material[#Headers],0))</f>
        <v>0</v>
      </c>
      <c r="M134" s="1"/>
      <c r="N134" s="1"/>
      <c r="O134" s="39">
        <f>O$29*INDEX(tbl_material[],MATCH(O$10,tbl_material[material],0),MATCH(RP_wood!$D$134,tbl_material[#Headers],0))+O$57*INDEX(tbl_material[],MATCH(O$11,tbl_material[material],0),MATCH(RP_wood!$D$134,tbl_material[#Headers],0))+O$85*INDEX(tbl_material[],MATCH(O$12,tbl_material[material],0),MATCH(RP_wood!$D$134,tbl_material[#Headers],0))</f>
        <v>0</v>
      </c>
      <c r="P134" s="1"/>
      <c r="Q134" s="1"/>
      <c r="R134" s="39" t="e">
        <f>R$29*INDEX(tbl_material[],MATCH(R$10,tbl_material[material],0),MATCH(RP_wood!$D$134,tbl_material[#Headers],0))+R$57*INDEX(tbl_material[],MATCH(R$11,tbl_material[material],0),MATCH(RP_wood!$D$134,tbl_material[#Headers],0))+R$85*INDEX(tbl_material[],MATCH(R$12,tbl_material[material],0),MATCH(RP_wood!$D$134,tbl_material[#Headers],0))</f>
        <v>#N/A</v>
      </c>
      <c r="S134" s="1"/>
      <c r="T134" s="1"/>
      <c r="U134" s="39" t="e">
        <f>U$29*INDEX(tbl_material[],MATCH(U$10,tbl_material[material],0),MATCH(RP_wood!$D$134,tbl_material[#Headers],0))+U$57*INDEX(tbl_material[],MATCH(U$11,tbl_material[material],0),MATCH(RP_wood!$D$134,tbl_material[#Headers],0))+U$85*INDEX(tbl_material[],MATCH(U$12,tbl_material[material],0),MATCH(RP_wood!$D$134,tbl_material[#Headers],0))</f>
        <v>#N/A</v>
      </c>
      <c r="V134" s="1"/>
      <c r="W134" s="1"/>
    </row>
    <row r="135" spans="1:23" customFormat="1" x14ac:dyDescent="0.55000000000000004">
      <c r="A135" s="89"/>
      <c r="B135" s="1"/>
      <c r="C135" s="1" t="s">
        <v>64</v>
      </c>
      <c r="D135" s="1" t="s">
        <v>158</v>
      </c>
      <c r="E135" s="46" t="s">
        <v>47</v>
      </c>
      <c r="F135" s="26">
        <f>IF(G131=0,F133+F134,F133+F134-G131*(F133+F134))</f>
        <v>13.200000000000001</v>
      </c>
      <c r="G135" s="1"/>
      <c r="H135" s="1"/>
      <c r="I135" s="26">
        <f>IF(J131=0,I133+I134,I133+I134-J131*(I133+I134))</f>
        <v>13.200000000000001</v>
      </c>
      <c r="J135" s="1"/>
      <c r="K135" s="1"/>
      <c r="L135" s="26">
        <f>IF(M131=0,L133+L134,L133+L134-M131*(L133+L134))</f>
        <v>6.6000000000000005</v>
      </c>
      <c r="M135" s="1"/>
      <c r="N135" s="1"/>
      <c r="O135" s="26">
        <f>IF(P131=0,O133+O134,O133+O134-P131*(O133+O134))</f>
        <v>13.200000000000001</v>
      </c>
      <c r="P135" s="1"/>
      <c r="Q135" s="1"/>
      <c r="R135" s="26" t="e">
        <f>IF(S131=0,R133+R134,R133+R134-S131*(R133+R134))</f>
        <v>#N/A</v>
      </c>
      <c r="S135" s="1"/>
      <c r="T135" s="1"/>
      <c r="U135" s="26" t="e">
        <f>IF(V131=0,U133+U134,U133+U134-V131*(U133+U134))</f>
        <v>#N/A</v>
      </c>
      <c r="V135" s="1"/>
      <c r="W135" s="1"/>
    </row>
    <row r="136" spans="1:23" customFormat="1" x14ac:dyDescent="0.55000000000000004">
      <c r="A136" s="89"/>
      <c r="B136" s="1"/>
      <c r="C136" s="1"/>
      <c r="D136" s="1"/>
      <c r="E136" s="4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customFormat="1" ht="14.5" customHeight="1" x14ac:dyDescent="0.65">
      <c r="A137" s="89"/>
      <c r="B137" s="9" t="s">
        <v>31</v>
      </c>
      <c r="C137" s="3" t="s">
        <v>43</v>
      </c>
      <c r="D137" s="1" t="s">
        <v>159</v>
      </c>
      <c r="E137" s="25" t="s">
        <v>1</v>
      </c>
      <c r="F137" s="6">
        <f>F135/lifetime_wood*((G126/SUM(G126:G130)/F126+(G127/SUM(G126:G130))/F127+(G128/SUM(G126:G130))/F128+(G129/SUM(G126:G130))/F129+(G130/SUM(G126:G130))/F130))</f>
        <v>1.2374461437605777E-14</v>
      </c>
      <c r="G137" s="1"/>
      <c r="H137" s="1"/>
      <c r="I137" s="6">
        <f>I135/lifetime_wood*((J126/SUM(J126:J130)/I126+(J127/SUM(J126:J130))/I127+(J128/SUM(J126:J130))/I128+(J129/SUM(J126:J130))/I129+(J130/SUM(J126:J130))/I130))</f>
        <v>1.2374461437605777E-14</v>
      </c>
      <c r="J137" s="1"/>
      <c r="K137" s="1"/>
      <c r="L137" s="6">
        <f>L135/lifetime_wood*((M126/SUM(M126:M130)/L126+(M127/SUM(M126:M130))/L127+(M128/SUM(M126:M130))/L128+(M129/SUM(M126:M130))/L129+(M130/SUM(M126:M130))/L130))</f>
        <v>3.1499999999999999E-16</v>
      </c>
      <c r="M137" s="1"/>
      <c r="N137" s="1"/>
      <c r="O137" s="6">
        <f>O135/lifetime_wood*((P126/SUM(P126:P130)/O126+(P127/SUM(P126:P130))/O127+(P128/SUM(P126:P130))/O128+(P129/SUM(P126:P130))/O129+(P130/SUM(P126:P130))/O130))</f>
        <v>1.5971434305707735E-14</v>
      </c>
      <c r="P137" s="1"/>
      <c r="Q137" s="1"/>
      <c r="R137" s="6" t="e">
        <f>R135/lifetime_wood*((S126/SUM(S126:S130)/R126+(S127/SUM(S126:S130))/R127+(S128/SUM(S126:S130))/R128+(S129/SUM(S126:S130))/R129+(S130/SUM(S126:S130))/R130))</f>
        <v>#N/A</v>
      </c>
      <c r="S137" s="1"/>
      <c r="T137" s="1"/>
      <c r="U137" s="6" t="e">
        <f>U135/lifetime_wood*((V126/SUM(V126:V130)/U126+(V127/SUM(V126:V130))/U127+(V128/SUM(V126:V130))/U128+(V129/SUM(V126:V130))/U129+(V130/SUM(V126:V130))/U130))</f>
        <v>#N/A</v>
      </c>
      <c r="V137" s="1"/>
      <c r="W137" s="1"/>
    </row>
    <row r="140" spans="1:23" customFormat="1" x14ac:dyDescent="0.55000000000000004">
      <c r="A140" s="90" t="s">
        <v>160</v>
      </c>
      <c r="B140" s="46" t="s">
        <v>107</v>
      </c>
      <c r="C140" s="1" t="s">
        <v>42</v>
      </c>
      <c r="D140" s="1"/>
      <c r="E140" s="46"/>
      <c r="F140" s="1"/>
      <c r="G140" s="1" t="s">
        <v>67</v>
      </c>
      <c r="H140" s="1"/>
      <c r="I140" s="1"/>
      <c r="J140" s="1" t="s">
        <v>67</v>
      </c>
      <c r="K140" s="1"/>
      <c r="L140" s="1"/>
      <c r="M140" s="1" t="s">
        <v>67</v>
      </c>
      <c r="N140" s="1"/>
      <c r="O140" s="1"/>
      <c r="P140" s="1" t="s">
        <v>67</v>
      </c>
      <c r="Q140" s="1"/>
      <c r="R140" s="1"/>
      <c r="S140" s="1" t="s">
        <v>67</v>
      </c>
      <c r="T140" s="1"/>
      <c r="U140" s="1"/>
      <c r="V140" s="1" t="s">
        <v>67</v>
      </c>
      <c r="W140" s="1"/>
    </row>
    <row r="141" spans="1:23" customFormat="1" x14ac:dyDescent="0.55000000000000004">
      <c r="A141" s="90"/>
      <c r="B141" s="25" t="s">
        <v>10</v>
      </c>
      <c r="C141" s="1" t="s">
        <v>26</v>
      </c>
      <c r="D141" t="s">
        <v>121</v>
      </c>
      <c r="E141" s="46" t="s">
        <v>104</v>
      </c>
      <c r="F141" s="5">
        <f>VLOOKUP($D141,tbl_ERP[],7,0)</f>
        <v>18325079790826.645</v>
      </c>
      <c r="G141" s="39">
        <f>INDEX(tbl_transport[],MATCH($D$141,tbl_transport[ERP identifier],0),MATCH(RP_wood!F$15,tbl_transport[#Headers],0))</f>
        <v>0.2</v>
      </c>
      <c r="H141" s="39"/>
      <c r="I141" s="5">
        <f>VLOOKUP($D141,tbl_ERP[],7,0)</f>
        <v>18325079790826.645</v>
      </c>
      <c r="J141" s="39">
        <f>INDEX(tbl_transport[],MATCH($D$141,tbl_transport[ERP identifier],0),MATCH(RP_wood!I$15,tbl_transport[#Headers],0))</f>
        <v>0.2</v>
      </c>
      <c r="K141" s="39"/>
      <c r="L141" s="5">
        <f>VLOOKUP($D141,tbl_ERP[],7,0)</f>
        <v>18325079790826.645</v>
      </c>
      <c r="M141" s="39">
        <f>INDEX(tbl_transport[],MATCH($D$141,tbl_transport[ERP identifier],0),MATCH(RP_wood!L$15,tbl_transport[#Headers],0))</f>
        <v>0</v>
      </c>
      <c r="N141" s="39"/>
      <c r="O141" s="5">
        <f>VLOOKUP($D141,tbl_ERP[],7,0)</f>
        <v>18325079790826.645</v>
      </c>
      <c r="P141" s="39">
        <v>0</v>
      </c>
      <c r="Q141" s="39"/>
      <c r="R141" s="5">
        <f>VLOOKUP($D141,tbl_ERP[],7,0)</f>
        <v>18325079790826.645</v>
      </c>
      <c r="S141" s="39" t="e">
        <f>INDEX(tbl_transport[],MATCH($D$141,tbl_transport[ERP identifier],0),MATCH(RP_wood!R$15,tbl_transport[#Headers],0))</f>
        <v>#N/A</v>
      </c>
      <c r="T141" s="39"/>
      <c r="U141" s="5">
        <f>VLOOKUP($D141,tbl_ERP[],7,0)</f>
        <v>18325079790826.645</v>
      </c>
      <c r="V141" s="39" t="e">
        <f>INDEX(tbl_transport[],MATCH($D$141,tbl_transport[ERP identifier],0),MATCH(RP_wood!U$15,tbl_transport[#Headers],0))</f>
        <v>#N/A</v>
      </c>
      <c r="W141" s="39"/>
    </row>
    <row r="142" spans="1:23" customFormat="1" x14ac:dyDescent="0.55000000000000004">
      <c r="A142" s="90"/>
      <c r="B142" s="25"/>
      <c r="C142" s="1"/>
      <c r="D142" t="s">
        <v>122</v>
      </c>
      <c r="E142" s="46" t="s">
        <v>104</v>
      </c>
      <c r="F142" s="5">
        <f>VLOOKUP($D142,tbl_ERP[],7,0)</f>
        <v>69650235049065.984</v>
      </c>
      <c r="G142" s="39">
        <f>INDEX(tbl_transport[],MATCH($D$142,tbl_transport[ERP identifier],0),MATCH(RP_wood!F$15,tbl_transport[#Headers],0))</f>
        <v>0.8</v>
      </c>
      <c r="H142" s="39"/>
      <c r="I142" s="5">
        <f>VLOOKUP($D142,tbl_ERP[],7,0)</f>
        <v>69650235049065.984</v>
      </c>
      <c r="J142" s="39">
        <f>INDEX(tbl_transport[],MATCH($D$142,tbl_transport[ERP identifier],0),MATCH(RP_wood!I$15,tbl_transport[#Headers],0))</f>
        <v>0.8</v>
      </c>
      <c r="K142" s="39"/>
      <c r="L142" s="5">
        <f>VLOOKUP($D142,tbl_ERP[],7,0)</f>
        <v>69650235049065.984</v>
      </c>
      <c r="M142" s="39">
        <f>INDEX(tbl_transport[],MATCH($D$142,tbl_transport[ERP identifier],0),MATCH(RP_wood!L$15,tbl_transport[#Headers],0))</f>
        <v>1</v>
      </c>
      <c r="N142" s="39"/>
      <c r="O142" s="5">
        <f>VLOOKUP($D142,tbl_ERP[],7,0)</f>
        <v>69650235049065.984</v>
      </c>
      <c r="P142" s="39">
        <v>0</v>
      </c>
      <c r="Q142" s="39"/>
      <c r="R142" s="5">
        <f>VLOOKUP($D142,tbl_ERP[],7,0)</f>
        <v>69650235049065.984</v>
      </c>
      <c r="S142" s="39" t="e">
        <f>INDEX(tbl_transport[],MATCH($D$142,tbl_transport[ERP identifier],0),MATCH(RP_wood!R$15,tbl_transport[#Headers],0))</f>
        <v>#N/A</v>
      </c>
      <c r="T142" s="39"/>
      <c r="U142" s="5">
        <f>VLOOKUP($D142,tbl_ERP[],7,0)</f>
        <v>69650235049065.984</v>
      </c>
      <c r="V142" s="39" t="e">
        <f>INDEX(tbl_transport[],MATCH($D$142,tbl_transport[ERP identifier],0),MATCH(RP_wood!U$15,tbl_transport[#Headers],0))</f>
        <v>#N/A</v>
      </c>
      <c r="W142" s="39"/>
    </row>
    <row r="143" spans="1:23" customFormat="1" x14ac:dyDescent="0.55000000000000004">
      <c r="A143" s="90"/>
      <c r="B143" s="25"/>
      <c r="C143" s="1"/>
      <c r="D143" t="s">
        <v>123</v>
      </c>
      <c r="E143" s="46" t="s">
        <v>104</v>
      </c>
      <c r="F143" s="5">
        <f>VLOOKUP($D143,tbl_ERP[],7,0)</f>
        <v>3442565475385.4912</v>
      </c>
      <c r="G143" s="39">
        <f>INDEX(tbl_transport[],MATCH($D$143,tbl_transport[ERP identifier],0),MATCH(RP_wood!F$15,tbl_transport[#Headers],0))</f>
        <v>0</v>
      </c>
      <c r="H143" s="39"/>
      <c r="I143" s="5">
        <f>VLOOKUP($D143,tbl_ERP[],7,0)</f>
        <v>3442565475385.4912</v>
      </c>
      <c r="J143" s="39">
        <f>INDEX(tbl_transport[],MATCH($D$143,tbl_transport[ERP identifier],0),MATCH(RP_wood!I$15,tbl_transport[#Headers],0))</f>
        <v>0</v>
      </c>
      <c r="K143" s="39"/>
      <c r="L143" s="5">
        <f>VLOOKUP($D143,tbl_ERP[],7,0)</f>
        <v>3442565475385.4912</v>
      </c>
      <c r="M143" s="39">
        <f>INDEX(tbl_transport[],MATCH($D$143,tbl_transport[ERP identifier],0),MATCH(RP_wood!L$15,tbl_transport[#Headers],0))</f>
        <v>0</v>
      </c>
      <c r="N143" s="39"/>
      <c r="O143" s="5">
        <f>VLOOKUP($D143,tbl_ERP[],7,0)</f>
        <v>3442565475385.4912</v>
      </c>
      <c r="P143" s="39">
        <v>0</v>
      </c>
      <c r="Q143" s="39"/>
      <c r="R143" s="5">
        <f>VLOOKUP($D143,tbl_ERP[],7,0)</f>
        <v>3442565475385.4912</v>
      </c>
      <c r="S143" s="39" t="e">
        <f>INDEX(tbl_transport[],MATCH($D$143,tbl_transport[ERP identifier],0),MATCH(RP_wood!R$15,tbl_transport[#Headers],0))</f>
        <v>#N/A</v>
      </c>
      <c r="T143" s="39"/>
      <c r="U143" s="5">
        <f>VLOOKUP($D143,tbl_ERP[],7,0)</f>
        <v>3442565475385.4912</v>
      </c>
      <c r="V143" s="39" t="e">
        <f>INDEX(tbl_transport[],MATCH($D$143,tbl_transport[ERP identifier],0),MATCH(RP_wood!U$15,tbl_transport[#Headers],0))</f>
        <v>#N/A</v>
      </c>
      <c r="W143" s="39"/>
    </row>
    <row r="144" spans="1:23" customFormat="1" x14ac:dyDescent="0.55000000000000004">
      <c r="A144" s="90"/>
      <c r="B144" s="25"/>
      <c r="C144" s="1"/>
      <c r="D144" t="s">
        <v>124</v>
      </c>
      <c r="E144" s="46" t="s">
        <v>104</v>
      </c>
      <c r="F144" s="5">
        <f>VLOOKUP($D144,tbl_ERP[],7,0)</f>
        <v>90703359848000.953</v>
      </c>
      <c r="G144" s="39">
        <f>INDEX(tbl_transport[],MATCH($D$144,tbl_transport[ERP identifier],0),MATCH(RP_wood!F$15,tbl_transport[#Headers],0))</f>
        <v>0</v>
      </c>
      <c r="H144" s="39"/>
      <c r="I144" s="5">
        <f>VLOOKUP($D144,tbl_ERP[],7,0)</f>
        <v>90703359848000.953</v>
      </c>
      <c r="J144" s="39">
        <f>INDEX(tbl_transport[],MATCH($D$144,tbl_transport[ERP identifier],0),MATCH(RP_wood!I$15,tbl_transport[#Headers],0))</f>
        <v>0</v>
      </c>
      <c r="K144" s="39"/>
      <c r="L144" s="5">
        <f>VLOOKUP($D144,tbl_ERP[],7,0)</f>
        <v>90703359848000.953</v>
      </c>
      <c r="M144" s="39">
        <f>INDEX(tbl_transport[],MATCH($D$144,tbl_transport[ERP identifier],0),MATCH(RP_wood!L$15,tbl_transport[#Headers],0))</f>
        <v>0</v>
      </c>
      <c r="N144" s="39"/>
      <c r="O144" s="5">
        <f>VLOOKUP($D144,tbl_ERP[],7,0)</f>
        <v>90703359848000.953</v>
      </c>
      <c r="P144" s="39">
        <f>INDEX(tbl_transport[],MATCH($D$144,tbl_transport[ERP identifier],0),MATCH(RP_wood!O$15,tbl_transport[#Headers],0))</f>
        <v>0</v>
      </c>
      <c r="Q144" s="39"/>
      <c r="R144" s="5">
        <f>VLOOKUP($D144,tbl_ERP[],7,0)</f>
        <v>90703359848000.953</v>
      </c>
      <c r="S144" s="39" t="e">
        <f>INDEX(tbl_transport[],MATCH($D$144,tbl_transport[ERP identifier],0),MATCH(RP_wood!R$15,tbl_transport[#Headers],0))</f>
        <v>#N/A</v>
      </c>
      <c r="T144" s="39"/>
      <c r="U144" s="5">
        <f>VLOOKUP($D144,tbl_ERP[],7,0)</f>
        <v>90703359848000.953</v>
      </c>
      <c r="V144" s="39" t="e">
        <f>INDEX(tbl_transport[],MATCH($D$144,tbl_transport[ERP identifier],0),MATCH(RP_wood!U$15,tbl_transport[#Headers],0))</f>
        <v>#N/A</v>
      </c>
      <c r="W144" s="39"/>
    </row>
    <row r="145" spans="1:23" customFormat="1" x14ac:dyDescent="0.55000000000000004">
      <c r="A145" s="90"/>
      <c r="B145" s="25"/>
      <c r="C145" s="1"/>
      <c r="D145" t="s">
        <v>125</v>
      </c>
      <c r="E145" s="46" t="s">
        <v>104</v>
      </c>
      <c r="F145" s="5">
        <f>VLOOKUP($D145,tbl_ERP[],7,0)</f>
        <v>961118746103.06384</v>
      </c>
      <c r="G145" s="39">
        <f>INDEX(tbl_transport[],MATCH($D$145,tbl_transport[ERP identifier],0),MATCH(RP_wood!F$15,tbl_transport[#Headers],0))</f>
        <v>0</v>
      </c>
      <c r="H145" s="39"/>
      <c r="I145" s="5">
        <f>VLOOKUP($D145,tbl_ERP[],7,0)</f>
        <v>961118746103.06384</v>
      </c>
      <c r="J145" s="39">
        <f>INDEX(tbl_transport[],MATCH($D$145,tbl_transport[ERP identifier],0),MATCH(RP_wood!I$15,tbl_transport[#Headers],0))</f>
        <v>0</v>
      </c>
      <c r="K145" s="39"/>
      <c r="L145" s="5">
        <f>VLOOKUP($D145,tbl_ERP[],7,0)</f>
        <v>961118746103.06384</v>
      </c>
      <c r="M145" s="39">
        <f>INDEX(tbl_transport[],MATCH($D$145,tbl_transport[ERP identifier],0),MATCH(RP_wood!L$15,tbl_transport[#Headers],0))</f>
        <v>0</v>
      </c>
      <c r="N145" s="39"/>
      <c r="O145" s="5">
        <f>VLOOKUP($D145,tbl_ERP[],7,0)</f>
        <v>961118746103.06384</v>
      </c>
      <c r="P145" s="39">
        <v>1</v>
      </c>
      <c r="Q145" s="39"/>
      <c r="R145" s="5">
        <f>VLOOKUP($D145,tbl_ERP[],7,0)</f>
        <v>961118746103.06384</v>
      </c>
      <c r="S145" s="39" t="e">
        <f>INDEX(tbl_transport[],MATCH($D$145,tbl_transport[ERP identifier],0),MATCH(RP_wood!R$15,tbl_transport[#Headers],0))</f>
        <v>#N/A</v>
      </c>
      <c r="T145" s="39"/>
      <c r="U145" s="5">
        <f>VLOOKUP($D145,tbl_ERP[],7,0)</f>
        <v>961118746103.06384</v>
      </c>
      <c r="V145" s="39" t="e">
        <f>INDEX(tbl_transport[],MATCH($D$145,tbl_transport[ERP identifier],0),MATCH(RP_wood!U$15,tbl_transport[#Headers],0))</f>
        <v>#N/A</v>
      </c>
      <c r="W145" s="39"/>
    </row>
    <row r="146" spans="1:23" customFormat="1" x14ac:dyDescent="0.55000000000000004">
      <c r="A146" s="90"/>
      <c r="B146" s="25"/>
      <c r="C146" s="1"/>
      <c r="D146" s="1"/>
      <c r="E146" s="4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customFormat="1" x14ac:dyDescent="0.55000000000000004">
      <c r="A147" s="90"/>
      <c r="B147" s="25"/>
      <c r="C147" s="1" t="s">
        <v>66</v>
      </c>
      <c r="D147" s="1" t="s">
        <v>203</v>
      </c>
      <c r="E147" s="46" t="s">
        <v>105</v>
      </c>
      <c r="F147" s="39">
        <f>(F$26+F$54+F$82)/1000*INDEX(tbl_sleeper[],MATCH($A$3,tbl_sleeper[sleeper type],0),MATCH(RP_wood!$D$147,tbl_sleeper[#Headers],0))</f>
        <v>0</v>
      </c>
      <c r="G147" s="1"/>
      <c r="H147" s="1"/>
      <c r="I147" s="39">
        <f>(I$26+I$54+I$82)/1000*INDEX(tbl_sleeper[],MATCH($A$3,tbl_sleeper[sleeper type],0),MATCH(RP_wood!$D$147,tbl_sleeper[#Headers],0))</f>
        <v>0</v>
      </c>
      <c r="J147" s="1"/>
      <c r="K147" s="1"/>
      <c r="L147" s="39">
        <f>(L$26+L$54+L$82)/1000*INDEX(tbl_sleeper[],MATCH($A$3,tbl_sleeper[sleeper type],0),MATCH(RP_wood!$D$147,tbl_sleeper[#Headers],0))</f>
        <v>0</v>
      </c>
      <c r="M147" s="1"/>
      <c r="N147" s="1"/>
      <c r="O147" s="39">
        <f>(O$26+O$54+O$82)/1000*INDEX(tbl_sleeper[],MATCH($A$3,tbl_sleeper[sleeper type],0),MATCH(RP_wood!$D$147,tbl_sleeper[#Headers],0))</f>
        <v>0</v>
      </c>
      <c r="P147" s="1"/>
      <c r="Q147" s="1"/>
      <c r="R147" s="39" t="e">
        <f>(R$26+R$54+R$82)/1000*INDEX(tbl_sleeper[],MATCH($A$3,tbl_sleeper[sleeper type],0),MATCH(RP_wood!$D$147,tbl_sleeper[#Headers],0))</f>
        <v>#N/A</v>
      </c>
      <c r="S147" s="1"/>
      <c r="T147" s="1"/>
      <c r="U147" s="39" t="e">
        <f>(U$26+U$54+U$82)/1000*INDEX(tbl_sleeper[],MATCH($A$3,tbl_sleeper[sleeper type],0),MATCH(RP_wood!$D$147,tbl_sleeper[#Headers],0))</f>
        <v>#N/A</v>
      </c>
      <c r="V147" s="1"/>
      <c r="W147" s="1"/>
    </row>
    <row r="148" spans="1:23" customFormat="1" x14ac:dyDescent="0.55000000000000004">
      <c r="A148" s="90"/>
      <c r="B148" s="25"/>
      <c r="C148" s="1" t="s">
        <v>66</v>
      </c>
      <c r="D148" s="1" t="s">
        <v>204</v>
      </c>
      <c r="E148" s="46" t="s">
        <v>105</v>
      </c>
      <c r="F148" s="39">
        <f>(F$26+F$54+F$82)/1000*INDEX(tbl_sleeper[],MATCH($A$3,tbl_sleeper[sleeper type],0),MATCH(RP_wood!$D$148,tbl_sleeper[#Headers],0))</f>
        <v>51</v>
      </c>
      <c r="G148" s="1"/>
      <c r="H148" s="1"/>
      <c r="I148" s="39">
        <f>(I$26+I$54+I$82)/1000*INDEX(tbl_sleeper[],MATCH($A$3,tbl_sleeper[sleeper type],0),MATCH(RP_wood!$D$148,tbl_sleeper[#Headers],0))</f>
        <v>51</v>
      </c>
      <c r="J148" s="1"/>
      <c r="K148" s="1"/>
      <c r="L148" s="39">
        <f>(L$26+L$54+L$82)/1000*INDEX(tbl_sleeper[],MATCH($A$3,tbl_sleeper[sleeper type],0),MATCH(RP_wood!$D$148,tbl_sleeper[#Headers],0))</f>
        <v>51</v>
      </c>
      <c r="M148" s="1"/>
      <c r="N148" s="1"/>
      <c r="O148" s="39">
        <f>(O$26+O$54+O$82)/1000*INDEX(tbl_sleeper[],MATCH($A$3,tbl_sleeper[sleeper type],0),MATCH(RP_wood!$D$148,tbl_sleeper[#Headers],0))</f>
        <v>51</v>
      </c>
      <c r="P148" s="1"/>
      <c r="Q148" s="1"/>
      <c r="R148" s="39" t="e">
        <f>(R$26+R$54+R$82)/1000*INDEX(tbl_sleeper[],MATCH($A$3,tbl_sleeper[sleeper type],0),MATCH(RP_wood!$D$148,tbl_sleeper[#Headers],0))</f>
        <v>#N/A</v>
      </c>
      <c r="S148" s="1"/>
      <c r="T148" s="1"/>
      <c r="U148" s="39" t="e">
        <f>(U$26+U$54+U$82)/1000*INDEX(tbl_sleeper[],MATCH($A$3,tbl_sleeper[sleeper type],0),MATCH(RP_wood!$D$148,tbl_sleeper[#Headers],0))</f>
        <v>#N/A</v>
      </c>
      <c r="V148" s="1"/>
      <c r="W148" s="1"/>
    </row>
    <row r="149" spans="1:23" customFormat="1" x14ac:dyDescent="0.55000000000000004">
      <c r="A149" s="90"/>
      <c r="B149" s="1"/>
      <c r="C149" s="1" t="s">
        <v>66</v>
      </c>
      <c r="D149" s="1" t="s">
        <v>106</v>
      </c>
      <c r="E149" s="46" t="s">
        <v>105</v>
      </c>
      <c r="F149" s="26">
        <f>SUM(F147:F148)</f>
        <v>51</v>
      </c>
      <c r="G149" s="1"/>
      <c r="H149" s="1"/>
      <c r="I149" s="26">
        <f>SUM(I147:I148)</f>
        <v>51</v>
      </c>
      <c r="J149" s="1"/>
      <c r="K149" s="1"/>
      <c r="L149" s="26">
        <f>SUM(L147:L148)</f>
        <v>51</v>
      </c>
      <c r="M149" s="1"/>
      <c r="N149" s="1"/>
      <c r="O149" s="26">
        <f>SUM(O147:O148)</f>
        <v>51</v>
      </c>
      <c r="P149" s="1"/>
      <c r="Q149" s="1"/>
      <c r="R149" s="26" t="e">
        <f>SUM(R147:R148)</f>
        <v>#N/A</v>
      </c>
      <c r="S149" s="1"/>
      <c r="T149" s="1"/>
      <c r="U149" s="26" t="e">
        <f>SUM(U147:U148)</f>
        <v>#N/A</v>
      </c>
      <c r="V149" s="1"/>
      <c r="W149" s="1"/>
    </row>
    <row r="150" spans="1:23" customFormat="1" x14ac:dyDescent="0.55000000000000004">
      <c r="A150" s="90"/>
      <c r="B150" s="1"/>
      <c r="C150" s="1"/>
      <c r="D150" s="1"/>
      <c r="E150" s="4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customFormat="1" ht="14.5" customHeight="1" x14ac:dyDescent="0.65">
      <c r="A151" s="90"/>
      <c r="B151" s="9" t="s">
        <v>31</v>
      </c>
      <c r="C151" s="3" t="s">
        <v>43</v>
      </c>
      <c r="D151" s="1" t="s">
        <v>160</v>
      </c>
      <c r="E151" s="25" t="s">
        <v>1</v>
      </c>
      <c r="F151" s="6">
        <f>F149/lifetime_wood*(G141/F141+G142/F142+G143/F143+G144/F144+G145/F145)</f>
        <v>4.5695932667340553E-14</v>
      </c>
      <c r="G151" s="1"/>
      <c r="H151" s="1"/>
      <c r="I151" s="6">
        <f>I149/lifetime_wood*(J141/I141+J142/I142+J143/I143+J144/I144+J145/I145)</f>
        <v>4.5695932667340553E-14</v>
      </c>
      <c r="J151" s="1"/>
      <c r="K151" s="1"/>
      <c r="L151" s="6">
        <f>L149/lifetime_wood*(M141/L141+M142/L142+M143/L143+M144/L144+M145/L145)</f>
        <v>2.928920481837421E-14</v>
      </c>
      <c r="M151" s="1"/>
      <c r="N151" s="1"/>
      <c r="O151" s="6">
        <f>O149/lifetime_wood*(P141/O141+P142/O142+P143/O143+P144/O144+P145/O145)</f>
        <v>2.1225264914157073E-12</v>
      </c>
      <c r="P151" s="1"/>
      <c r="Q151" s="1"/>
      <c r="R151" s="6" t="e">
        <f>R149/lifetime_wood*(S141/R141+S142/R142+S143/R143+S144/R144+S145/R145)</f>
        <v>#N/A</v>
      </c>
      <c r="S151" s="1"/>
      <c r="T151" s="1"/>
      <c r="U151" s="6" t="e">
        <f>U149/lifetime_wood*(V141/U141+V142/U142+V143/U143+V144/U144+V145/U145)</f>
        <v>#N/A</v>
      </c>
      <c r="V151" s="1"/>
      <c r="W151" s="1"/>
    </row>
    <row r="154" spans="1:23" customFormat="1" ht="14.5" customHeight="1" x14ac:dyDescent="0.55000000000000004">
      <c r="A154" s="90" t="s">
        <v>161</v>
      </c>
      <c r="B154" s="46" t="s">
        <v>107</v>
      </c>
      <c r="C154" s="1" t="s">
        <v>42</v>
      </c>
      <c r="D154" s="1"/>
      <c r="E154" s="46"/>
      <c r="F154" s="1"/>
      <c r="G154" s="1" t="s">
        <v>67</v>
      </c>
      <c r="H154" s="1"/>
      <c r="I154" s="1"/>
      <c r="J154" s="1" t="s">
        <v>67</v>
      </c>
      <c r="K154" s="1"/>
      <c r="L154" s="1"/>
      <c r="M154" s="1" t="s">
        <v>67</v>
      </c>
      <c r="N154" s="1"/>
      <c r="O154" s="1"/>
      <c r="P154" s="1" t="s">
        <v>67</v>
      </c>
      <c r="Q154" s="1"/>
      <c r="R154" s="1"/>
      <c r="S154" s="1" t="s">
        <v>67</v>
      </c>
      <c r="T154" s="1"/>
      <c r="U154" s="1"/>
      <c r="V154" s="1" t="s">
        <v>67</v>
      </c>
      <c r="W154" s="1"/>
    </row>
    <row r="155" spans="1:23" customFormat="1" x14ac:dyDescent="0.55000000000000004">
      <c r="A155" s="90"/>
      <c r="B155" s="25" t="s">
        <v>10</v>
      </c>
      <c r="C155" s="1" t="s">
        <v>26</v>
      </c>
      <c r="D155" t="s">
        <v>121</v>
      </c>
      <c r="E155" s="46" t="s">
        <v>104</v>
      </c>
      <c r="F155" s="5">
        <f>VLOOKUP($D155,tbl_ERP[],7,0)</f>
        <v>18325079790826.645</v>
      </c>
      <c r="G155" s="39">
        <f>INDEX(tbl_transport[],MATCH($D$155,tbl_transport[ERP identifier],0),MATCH(RP_wood!F$16,tbl_transport[#Headers],0))</f>
        <v>0</v>
      </c>
      <c r="H155" s="1"/>
      <c r="I155" s="5">
        <f>VLOOKUP($D155,tbl_ERP[],7,0)</f>
        <v>18325079790826.645</v>
      </c>
      <c r="J155" s="39">
        <f>INDEX(tbl_transport[],MATCH($D$155,tbl_transport[ERP identifier],0),MATCH(RP_wood!I$16,tbl_transport[#Headers],0))</f>
        <v>0</v>
      </c>
      <c r="K155" s="1"/>
      <c r="L155" s="5">
        <f>VLOOKUP($D155,tbl_ERP[],7,0)</f>
        <v>18325079790826.645</v>
      </c>
      <c r="M155" s="39">
        <f>INDEX(tbl_transport[],MATCH($D$155,tbl_transport[ERP identifier],0),MATCH(RP_wood!L$16,tbl_transport[#Headers],0))</f>
        <v>0</v>
      </c>
      <c r="N155" s="1"/>
      <c r="O155" s="5">
        <f>VLOOKUP($D155,tbl_ERP[],7,0)</f>
        <v>18325079790826.645</v>
      </c>
      <c r="P155" s="39">
        <f>INDEX(tbl_transport[],MATCH($D$155,tbl_transport[ERP identifier],0),MATCH(RP_wood!O$16,tbl_transport[#Headers],0))</f>
        <v>0</v>
      </c>
      <c r="Q155" s="1"/>
      <c r="R155" s="5">
        <f>VLOOKUP($D155,tbl_ERP[],7,0)</f>
        <v>18325079790826.645</v>
      </c>
      <c r="S155" s="39" t="e">
        <f>INDEX(tbl_transport[],MATCH($D$155,tbl_transport[ERP identifier],0),MATCH(RP_wood!R$16,tbl_transport[#Headers],0))</f>
        <v>#N/A</v>
      </c>
      <c r="T155" s="1"/>
      <c r="U155" s="5">
        <f>VLOOKUP($D155,tbl_ERP[],7,0)</f>
        <v>18325079790826.645</v>
      </c>
      <c r="V155" s="39" t="e">
        <f>INDEX(tbl_transport[],MATCH($D$155,tbl_transport[ERP identifier],0),MATCH(RP_wood!U$16,tbl_transport[#Headers],0))</f>
        <v>#N/A</v>
      </c>
      <c r="W155" s="1"/>
    </row>
    <row r="156" spans="1:23" customFormat="1" x14ac:dyDescent="0.55000000000000004">
      <c r="A156" s="90"/>
      <c r="B156" s="25"/>
      <c r="C156" s="1"/>
      <c r="D156" t="s">
        <v>122</v>
      </c>
      <c r="E156" s="46" t="s">
        <v>104</v>
      </c>
      <c r="F156" s="5">
        <f>VLOOKUP($D156,tbl_ERP[],7,0)</f>
        <v>69650235049065.984</v>
      </c>
      <c r="G156" s="39">
        <f>INDEX(tbl_transport[],MATCH($D$156,tbl_transport[ERP identifier],0),MATCH(RP_wood!F$16,tbl_transport[#Headers],0))</f>
        <v>0.5</v>
      </c>
      <c r="H156" s="1"/>
      <c r="I156" s="5">
        <f>VLOOKUP($D156,tbl_ERP[],7,0)</f>
        <v>69650235049065.984</v>
      </c>
      <c r="J156" s="39">
        <f>INDEX(tbl_transport[],MATCH($D$156,tbl_transport[ERP identifier],0),MATCH(RP_wood!I$16,tbl_transport[#Headers],0))</f>
        <v>0.5</v>
      </c>
      <c r="K156" s="1"/>
      <c r="L156" s="5">
        <f>VLOOKUP($D156,tbl_ERP[],7,0)</f>
        <v>69650235049065.984</v>
      </c>
      <c r="M156" s="39">
        <f>INDEX(tbl_transport[],MATCH($D$156,tbl_transport[ERP identifier],0),MATCH(RP_wood!L$16,tbl_transport[#Headers],0))</f>
        <v>0</v>
      </c>
      <c r="N156" s="1"/>
      <c r="O156" s="5">
        <f>VLOOKUP($D156,tbl_ERP[],7,0)</f>
        <v>69650235049065.984</v>
      </c>
      <c r="P156" s="39">
        <v>0</v>
      </c>
      <c r="Q156" s="1"/>
      <c r="R156" s="5">
        <f>VLOOKUP($D156,tbl_ERP[],7,0)</f>
        <v>69650235049065.984</v>
      </c>
      <c r="S156" s="39" t="e">
        <f>INDEX(tbl_transport[],MATCH($D$156,tbl_transport[ERP identifier],0),MATCH(RP_wood!R$16,tbl_transport[#Headers],0))</f>
        <v>#N/A</v>
      </c>
      <c r="T156" s="1"/>
      <c r="U156" s="5">
        <f>VLOOKUP($D156,tbl_ERP[],7,0)</f>
        <v>69650235049065.984</v>
      </c>
      <c r="V156" s="39" t="e">
        <f>INDEX(tbl_transport[],MATCH($D$156,tbl_transport[ERP identifier],0),MATCH(RP_wood!U$16,tbl_transport[#Headers],0))</f>
        <v>#N/A</v>
      </c>
      <c r="W156" s="1"/>
    </row>
    <row r="157" spans="1:23" customFormat="1" x14ac:dyDescent="0.55000000000000004">
      <c r="A157" s="90"/>
      <c r="B157" s="25"/>
      <c r="C157" s="1"/>
      <c r="D157" t="s">
        <v>123</v>
      </c>
      <c r="E157" s="46" t="s">
        <v>104</v>
      </c>
      <c r="F157" s="5">
        <f>VLOOKUP($D157,tbl_ERP[],7,0)</f>
        <v>3442565475385.4912</v>
      </c>
      <c r="G157" s="39">
        <f>INDEX(tbl_transport[],MATCH($D$157,tbl_transport[ERP identifier],0),MATCH(RP_wood!F$16,tbl_transport[#Headers],0))</f>
        <v>0</v>
      </c>
      <c r="H157" s="1"/>
      <c r="I157" s="5">
        <f>VLOOKUP($D157,tbl_ERP[],7,0)</f>
        <v>3442565475385.4912</v>
      </c>
      <c r="J157" s="39">
        <f>INDEX(tbl_transport[],MATCH($D$157,tbl_transport[ERP identifier],0),MATCH(RP_wood!I$16,tbl_transport[#Headers],0))</f>
        <v>0</v>
      </c>
      <c r="K157" s="1"/>
      <c r="L157" s="5">
        <f>VLOOKUP($D157,tbl_ERP[],7,0)</f>
        <v>3442565475385.4912</v>
      </c>
      <c r="M157" s="39">
        <f>INDEX(tbl_transport[],MATCH($D$157,tbl_transport[ERP identifier],0),MATCH(RP_wood!L$16,tbl_transport[#Headers],0))</f>
        <v>0</v>
      </c>
      <c r="N157" s="1"/>
      <c r="O157" s="5">
        <f>VLOOKUP($D157,tbl_ERP[],7,0)</f>
        <v>3442565475385.4912</v>
      </c>
      <c r="P157" s="39">
        <f>INDEX(tbl_transport[],MATCH($D$157,tbl_transport[ERP identifier],0),MATCH(RP_wood!O$16,tbl_transport[#Headers],0))</f>
        <v>0</v>
      </c>
      <c r="Q157" s="1"/>
      <c r="R157" s="5">
        <f>VLOOKUP($D157,tbl_ERP[],7,0)</f>
        <v>3442565475385.4912</v>
      </c>
      <c r="S157" s="39" t="e">
        <f>INDEX(tbl_transport[],MATCH($D$157,tbl_transport[ERP identifier],0),MATCH(RP_wood!R$16,tbl_transport[#Headers],0))</f>
        <v>#N/A</v>
      </c>
      <c r="T157" s="1"/>
      <c r="U157" s="5">
        <f>VLOOKUP($D157,tbl_ERP[],7,0)</f>
        <v>3442565475385.4912</v>
      </c>
      <c r="V157" s="39" t="e">
        <f>INDEX(tbl_transport[],MATCH($D$157,tbl_transport[ERP identifier],0),MATCH(RP_wood!U$16,tbl_transport[#Headers],0))</f>
        <v>#N/A</v>
      </c>
      <c r="W157" s="1"/>
    </row>
    <row r="158" spans="1:23" customFormat="1" x14ac:dyDescent="0.55000000000000004">
      <c r="A158" s="90"/>
      <c r="B158" s="25"/>
      <c r="C158" s="1"/>
      <c r="D158" t="s">
        <v>124</v>
      </c>
      <c r="E158" s="46" t="s">
        <v>104</v>
      </c>
      <c r="F158" s="5">
        <f>VLOOKUP($D158,tbl_ERP[],7,0)</f>
        <v>90703359848000.953</v>
      </c>
      <c r="G158" s="39">
        <f>INDEX(tbl_transport[],MATCH($D$158,tbl_transport[ERP identifier],0),MATCH(RP_wood!F$16,tbl_transport[#Headers],0))</f>
        <v>0.5</v>
      </c>
      <c r="H158" s="1"/>
      <c r="I158" s="5">
        <f>VLOOKUP($D158,tbl_ERP[],7,0)</f>
        <v>90703359848000.953</v>
      </c>
      <c r="J158" s="39">
        <f>INDEX(tbl_transport[],MATCH($D$158,tbl_transport[ERP identifier],0),MATCH(RP_wood!I$16,tbl_transport[#Headers],0))</f>
        <v>0.5</v>
      </c>
      <c r="K158" s="1"/>
      <c r="L158" s="5">
        <f>VLOOKUP($D158,tbl_ERP[],7,0)</f>
        <v>90703359848000.953</v>
      </c>
      <c r="M158" s="39">
        <f>INDEX(tbl_transport[],MATCH($D$158,tbl_transport[ERP identifier],0),MATCH(RP_wood!L$16,tbl_transport[#Headers],0))</f>
        <v>1</v>
      </c>
      <c r="N158" s="1"/>
      <c r="O158" s="5">
        <f>VLOOKUP($D158,tbl_ERP[],7,0)</f>
        <v>90703359848000.953</v>
      </c>
      <c r="P158" s="39">
        <v>0</v>
      </c>
      <c r="Q158" s="1"/>
      <c r="R158" s="5">
        <f>VLOOKUP($D158,tbl_ERP[],7,0)</f>
        <v>90703359848000.953</v>
      </c>
      <c r="S158" s="39" t="e">
        <f>INDEX(tbl_transport[],MATCH($D$158,tbl_transport[ERP identifier],0),MATCH(RP_wood!R$16,tbl_transport[#Headers],0))</f>
        <v>#N/A</v>
      </c>
      <c r="T158" s="1"/>
      <c r="U158" s="5">
        <f>VLOOKUP($D158,tbl_ERP[],7,0)</f>
        <v>90703359848000.953</v>
      </c>
      <c r="V158" s="39" t="e">
        <f>INDEX(tbl_transport[],MATCH($D$158,tbl_transport[ERP identifier],0),MATCH(RP_wood!U$16,tbl_transport[#Headers],0))</f>
        <v>#N/A</v>
      </c>
      <c r="W158" s="1"/>
    </row>
    <row r="159" spans="1:23" customFormat="1" x14ac:dyDescent="0.55000000000000004">
      <c r="A159" s="90"/>
      <c r="B159" s="25"/>
      <c r="C159" s="1"/>
      <c r="D159" t="s">
        <v>125</v>
      </c>
      <c r="E159" s="46" t="s">
        <v>104</v>
      </c>
      <c r="F159" s="5">
        <f>VLOOKUP($D159,tbl_ERP[],7,0)</f>
        <v>961118746103.06384</v>
      </c>
      <c r="G159" s="39">
        <f>INDEX(tbl_transport[],MATCH($D$159,tbl_transport[ERP identifier],0),MATCH(RP_wood!F$16,tbl_transport[#Headers],0))</f>
        <v>0</v>
      </c>
      <c r="H159" s="1"/>
      <c r="I159" s="5">
        <f>VLOOKUP($D159,tbl_ERP[],7,0)</f>
        <v>961118746103.06384</v>
      </c>
      <c r="J159" s="39">
        <f>INDEX(tbl_transport[],MATCH($D$159,tbl_transport[ERP identifier],0),MATCH(RP_wood!I$16,tbl_transport[#Headers],0))</f>
        <v>0</v>
      </c>
      <c r="K159" s="1"/>
      <c r="L159" s="5">
        <f>VLOOKUP($D159,tbl_ERP[],7,0)</f>
        <v>961118746103.06384</v>
      </c>
      <c r="M159" s="39">
        <f>INDEX(tbl_transport[],MATCH($D$159,tbl_transport[ERP identifier],0),MATCH(RP_wood!L$16,tbl_transport[#Headers],0))</f>
        <v>0</v>
      </c>
      <c r="N159" s="1"/>
      <c r="O159" s="5">
        <f>VLOOKUP($D159,tbl_ERP[],7,0)</f>
        <v>961118746103.06384</v>
      </c>
      <c r="P159" s="39">
        <v>1</v>
      </c>
      <c r="Q159" s="1"/>
      <c r="R159" s="5">
        <f>VLOOKUP($D159,tbl_ERP[],7,0)</f>
        <v>961118746103.06384</v>
      </c>
      <c r="S159" s="39" t="e">
        <f>INDEX(tbl_transport[],MATCH($D$159,tbl_transport[ERP identifier],0),MATCH(RP_wood!R$16,tbl_transport[#Headers],0))</f>
        <v>#N/A</v>
      </c>
      <c r="T159" s="1"/>
      <c r="U159" s="5">
        <f>VLOOKUP($D159,tbl_ERP[],7,0)</f>
        <v>961118746103.06384</v>
      </c>
      <c r="V159" s="39" t="e">
        <f>INDEX(tbl_transport[],MATCH($D$159,tbl_transport[ERP identifier],0),MATCH(RP_wood!U$16,tbl_transport[#Headers],0))</f>
        <v>#N/A</v>
      </c>
      <c r="W159" s="1"/>
    </row>
    <row r="160" spans="1:23" customFormat="1" x14ac:dyDescent="0.55000000000000004">
      <c r="A160" s="90"/>
      <c r="B160" s="25"/>
      <c r="C160" s="1"/>
      <c r="D160" s="1"/>
      <c r="E160" s="4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customFormat="1" x14ac:dyDescent="0.55000000000000004">
      <c r="A161" s="90"/>
      <c r="B161" s="25"/>
      <c r="C161" s="1" t="s">
        <v>66</v>
      </c>
      <c r="D161" s="1" t="s">
        <v>205</v>
      </c>
      <c r="E161" s="46" t="s">
        <v>105</v>
      </c>
      <c r="F161" s="39">
        <f>(F$26+F$54+F$82)/1000*INDEX(tbl_sleeper[],MATCH($A$3,tbl_sleeper[sleeper type],0),MATCH(RP_wood!$D$161,tbl_sleeper[#Headers],0))</f>
        <v>0</v>
      </c>
      <c r="G161" s="1"/>
      <c r="H161" s="1"/>
      <c r="I161" s="39">
        <f>(I$26+I$54+I$82)/1000*INDEX(tbl_sleeper[],MATCH($A$3,tbl_sleeper[sleeper type],0),MATCH(RP_wood!$D$161,tbl_sleeper[#Headers],0))</f>
        <v>0</v>
      </c>
      <c r="J161" s="1"/>
      <c r="K161" s="1"/>
      <c r="L161" s="39">
        <f>(L$26+L$54+L$82)/1000*INDEX(tbl_sleeper[],MATCH($A$3,tbl_sleeper[sleeper type],0),MATCH(RP_wood!$D$161,tbl_sleeper[#Headers],0))</f>
        <v>0</v>
      </c>
      <c r="M161" s="1"/>
      <c r="N161" s="1"/>
      <c r="O161" s="39">
        <f>(O$26+O$54+O$82)/1000*INDEX(tbl_sleeper[],MATCH($A$3,tbl_sleeper[sleeper type],0),MATCH(RP_wood!$D$161,tbl_sleeper[#Headers],0))</f>
        <v>0</v>
      </c>
      <c r="P161" s="1"/>
      <c r="Q161" s="1"/>
      <c r="R161" s="39" t="e">
        <f>(R$26+R$54+R$82)/1000*INDEX(tbl_sleeper[],MATCH($A$3,tbl_sleeper[sleeper type],0),MATCH(RP_wood!$D$161,tbl_sleeper[#Headers],0))</f>
        <v>#N/A</v>
      </c>
      <c r="S161" s="1"/>
      <c r="T161" s="1"/>
      <c r="U161" s="39" t="e">
        <f>(U$26+U$54+U$82)/1000*INDEX(tbl_sleeper[],MATCH($A$3,tbl_sleeper[sleeper type],0),MATCH(RP_wood!$D$161,tbl_sleeper[#Headers],0))</f>
        <v>#N/A</v>
      </c>
      <c r="V161" s="1"/>
      <c r="W161" s="1"/>
    </row>
    <row r="162" spans="1:23" customFormat="1" x14ac:dyDescent="0.55000000000000004">
      <c r="A162" s="90"/>
      <c r="B162" s="1"/>
      <c r="C162" s="1" t="s">
        <v>66</v>
      </c>
      <c r="D162" s="1" t="s">
        <v>106</v>
      </c>
      <c r="E162" s="46" t="s">
        <v>105</v>
      </c>
      <c r="F162" s="26">
        <f>SUM(F161)</f>
        <v>0</v>
      </c>
      <c r="G162" s="1"/>
      <c r="H162" s="1"/>
      <c r="I162" s="26">
        <f>SUM(I161)</f>
        <v>0</v>
      </c>
      <c r="J162" s="1"/>
      <c r="K162" s="1"/>
      <c r="L162" s="26">
        <f>SUM(L161)</f>
        <v>0</v>
      </c>
      <c r="M162" s="1"/>
      <c r="N162" s="1"/>
      <c r="O162" s="26">
        <f>SUM(O161)</f>
        <v>0</v>
      </c>
      <c r="P162" s="1"/>
      <c r="Q162" s="1"/>
      <c r="R162" s="26" t="e">
        <f>SUM(R161)</f>
        <v>#N/A</v>
      </c>
      <c r="S162" s="1"/>
      <c r="T162" s="1"/>
      <c r="U162" s="26" t="e">
        <f>SUM(U161)</f>
        <v>#N/A</v>
      </c>
      <c r="V162" s="1"/>
      <c r="W162" s="1"/>
    </row>
    <row r="163" spans="1:23" customFormat="1" x14ac:dyDescent="0.55000000000000004">
      <c r="A163" s="90"/>
      <c r="B163" s="1"/>
      <c r="C163" s="1"/>
      <c r="D163" s="1"/>
      <c r="E163" s="4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customFormat="1" ht="14.5" customHeight="1" x14ac:dyDescent="0.65">
      <c r="A164" s="90"/>
      <c r="B164" s="9" t="s">
        <v>31</v>
      </c>
      <c r="C164" s="3" t="s">
        <v>43</v>
      </c>
      <c r="D164" s="1" t="s">
        <v>161</v>
      </c>
      <c r="E164" s="25" t="s">
        <v>1</v>
      </c>
      <c r="F164" s="6">
        <f>F162/lifetime_wood*(G155/F155+G156/F156+G157/F157+G158/F158+G159/F159)</f>
        <v>0</v>
      </c>
      <c r="G164" s="1"/>
      <c r="H164" s="1"/>
      <c r="I164" s="6">
        <f>I162/lifetime_wood*(J155/I155+J156/I156+J157/I157+J158/I158+J159/I159)</f>
        <v>0</v>
      </c>
      <c r="J164" s="1"/>
      <c r="K164" s="1"/>
      <c r="L164" s="6">
        <f>L162/lifetime_wood*(M155/L155+M156/L156+M157/L157+M158/L158+M159/L159)</f>
        <v>0</v>
      </c>
      <c r="M164" s="1"/>
      <c r="N164" s="1"/>
      <c r="O164" s="6">
        <f>O162/lifetime_wood*(P155/O155+P156/O156+P157/O157+P158/O158+P159/O159)</f>
        <v>0</v>
      </c>
      <c r="P164" s="1"/>
      <c r="Q164" s="1"/>
      <c r="R164" s="6" t="e">
        <f>R162/lifetime_wood*(S155/R155+S156/R156+S157/R157+S158/R158+S159/R159)</f>
        <v>#N/A</v>
      </c>
      <c r="S164" s="1"/>
      <c r="T164" s="1"/>
      <c r="U164" s="6" t="e">
        <f>U162/lifetime_wood*(V155/U155+V156/U156+V157/U157+V158/U158+V159/U159)</f>
        <v>#N/A</v>
      </c>
      <c r="V164" s="1"/>
      <c r="W164" s="1"/>
    </row>
  </sheetData>
  <mergeCells count="22">
    <mergeCell ref="A48:A73"/>
    <mergeCell ref="B51:B52"/>
    <mergeCell ref="B54:B57"/>
    <mergeCell ref="B59:B62"/>
    <mergeCell ref="B64:B67"/>
    <mergeCell ref="B69:B71"/>
    <mergeCell ref="A20:A45"/>
    <mergeCell ref="B23:B24"/>
    <mergeCell ref="B26:B29"/>
    <mergeCell ref="B31:B34"/>
    <mergeCell ref="B36:B39"/>
    <mergeCell ref="B41:B43"/>
    <mergeCell ref="B79:B80"/>
    <mergeCell ref="B82:B85"/>
    <mergeCell ref="B87:B90"/>
    <mergeCell ref="B92:B95"/>
    <mergeCell ref="B97:B99"/>
    <mergeCell ref="A104:A122"/>
    <mergeCell ref="A125:A137"/>
    <mergeCell ref="A140:A151"/>
    <mergeCell ref="A154:A164"/>
    <mergeCell ref="A76:A10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T193"/>
  <sheetViews>
    <sheetView zoomScale="130" zoomScaleNormal="130" workbookViewId="0">
      <pane xSplit="5" ySplit="20" topLeftCell="F21" activePane="bottomRight" state="frozen"/>
      <selection pane="topRight" activeCell="C1" sqref="C1"/>
      <selection pane="bottomLeft" activeCell="A3" sqref="A3"/>
      <selection pane="bottomRight" activeCell="I4" sqref="I4"/>
    </sheetView>
  </sheetViews>
  <sheetFormatPr defaultColWidth="11.578125" defaultRowHeight="14.4" x14ac:dyDescent="0.55000000000000004"/>
  <cols>
    <col min="1" max="1" width="5.83984375" style="1" customWidth="1"/>
    <col min="2" max="2" width="8.15625" style="1" customWidth="1"/>
    <col min="3" max="3" width="30.15625" style="1" bestFit="1" customWidth="1"/>
    <col min="4" max="4" width="44.578125" style="1" bestFit="1" customWidth="1"/>
    <col min="5" max="5" width="6.578125" style="46" customWidth="1"/>
    <col min="6" max="6" width="16.578125" style="1" customWidth="1"/>
    <col min="7" max="7" width="11" style="1" bestFit="1" customWidth="1"/>
    <col min="8" max="8" width="2.578125" style="1" customWidth="1"/>
    <col min="9" max="9" width="16.578125" style="1" customWidth="1"/>
    <col min="10" max="10" width="10.578125" style="1" bestFit="1" customWidth="1"/>
    <col min="11" max="11" width="2.578125" style="1" customWidth="1"/>
    <col min="12" max="12" width="16.578125" style="1" customWidth="1"/>
    <col min="13" max="13" width="8.578125" style="1" customWidth="1"/>
    <col min="14" max="14" width="2.578125" style="1" customWidth="1"/>
    <col min="15" max="15" width="16.578125" style="1" customWidth="1"/>
    <col min="16" max="16" width="8.578125" style="1" customWidth="1"/>
    <col min="17" max="17" width="2.578125" style="1" customWidth="1"/>
    <col min="18" max="18" width="16.578125" style="1" customWidth="1"/>
    <col min="19" max="19" width="8.578125" style="1" customWidth="1"/>
    <col min="20" max="20" width="2.578125" style="1" customWidth="1"/>
    <col min="21" max="16384" width="11.578125" style="1"/>
  </cols>
  <sheetData>
    <row r="1" spans="1:20" s="8" customFormat="1" x14ac:dyDescent="0.55000000000000004">
      <c r="A1" s="8" t="s">
        <v>27</v>
      </c>
      <c r="E1" s="12"/>
    </row>
    <row r="2" spans="1:20" x14ac:dyDescent="0.55000000000000004">
      <c r="C2" s="3"/>
    </row>
    <row r="3" spans="1:20" ht="14.5" customHeight="1" x14ac:dyDescent="0.55000000000000004">
      <c r="A3" s="50" t="s">
        <v>168</v>
      </c>
      <c r="B3" s="50"/>
      <c r="C3" s="3"/>
      <c r="D3" s="3" t="s">
        <v>37</v>
      </c>
      <c r="F3" s="43" t="s">
        <v>185</v>
      </c>
      <c r="I3" s="43" t="s">
        <v>217</v>
      </c>
      <c r="L3" s="43" t="s">
        <v>294</v>
      </c>
      <c r="O3" s="43" t="s">
        <v>295</v>
      </c>
      <c r="R3" s="43" t="s">
        <v>296</v>
      </c>
    </row>
    <row r="4" spans="1:20" ht="14.5" customHeight="1" x14ac:dyDescent="0.55000000000000004">
      <c r="D4" s="1" t="s">
        <v>29</v>
      </c>
      <c r="F4" s="50" t="s">
        <v>320</v>
      </c>
      <c r="I4" s="50" t="s">
        <v>321</v>
      </c>
      <c r="L4" s="50"/>
      <c r="O4" s="50"/>
      <c r="R4" s="50"/>
    </row>
    <row r="5" spans="1:20" s="27" customFormat="1" x14ac:dyDescent="0.55000000000000004">
      <c r="A5"/>
      <c r="B5" s="1"/>
      <c r="C5" s="1"/>
      <c r="D5" s="27" t="s">
        <v>7</v>
      </c>
      <c r="E5" s="28"/>
      <c r="F5" s="35" t="s">
        <v>140</v>
      </c>
      <c r="G5" s="30"/>
      <c r="H5" s="30"/>
      <c r="I5" s="35" t="s">
        <v>141</v>
      </c>
      <c r="J5" s="30"/>
      <c r="K5" s="30"/>
      <c r="L5" s="35"/>
      <c r="M5" s="30"/>
      <c r="N5" s="30"/>
      <c r="O5" s="35"/>
      <c r="P5" s="30"/>
      <c r="Q5" s="30"/>
      <c r="R5" s="35"/>
      <c r="S5" s="30"/>
      <c r="T5" s="30"/>
    </row>
    <row r="6" spans="1:20" x14ac:dyDescent="0.55000000000000004">
      <c r="A6"/>
      <c r="D6" s="1" t="s">
        <v>211</v>
      </c>
      <c r="F6" s="36" t="s">
        <v>142</v>
      </c>
      <c r="G6" s="31"/>
      <c r="H6" s="31"/>
      <c r="I6" s="36" t="s">
        <v>143</v>
      </c>
      <c r="J6" s="31"/>
      <c r="K6" s="31"/>
      <c r="L6" s="36"/>
      <c r="M6" s="31"/>
      <c r="N6" s="31"/>
      <c r="O6" s="36"/>
      <c r="P6" s="31"/>
      <c r="Q6" s="31"/>
      <c r="R6" s="36"/>
      <c r="S6" s="31"/>
      <c r="T6" s="31"/>
    </row>
    <row r="7" spans="1:20" x14ac:dyDescent="0.55000000000000004">
      <c r="D7" s="1" t="s">
        <v>212</v>
      </c>
      <c r="F7" s="36" t="s">
        <v>144</v>
      </c>
      <c r="G7" s="31"/>
      <c r="H7" s="31"/>
      <c r="I7" s="36" t="s">
        <v>145</v>
      </c>
      <c r="J7" s="31"/>
      <c r="K7" s="31"/>
      <c r="L7" s="36"/>
      <c r="M7" s="31"/>
      <c r="N7" s="31"/>
      <c r="O7" s="36"/>
      <c r="P7" s="31"/>
      <c r="Q7" s="31"/>
      <c r="R7" s="36"/>
      <c r="S7" s="31"/>
      <c r="T7" s="31"/>
    </row>
    <row r="8" spans="1:20" s="20" customFormat="1" ht="15" customHeight="1" x14ac:dyDescent="0.55000000000000004">
      <c r="A8" s="1"/>
      <c r="B8" s="1"/>
      <c r="C8" s="1"/>
      <c r="D8" s="20" t="s">
        <v>213</v>
      </c>
      <c r="E8" s="21"/>
      <c r="F8" s="37" t="s">
        <v>146</v>
      </c>
      <c r="G8" s="32"/>
      <c r="H8" s="32"/>
      <c r="I8" s="37" t="s">
        <v>147</v>
      </c>
      <c r="J8" s="32"/>
      <c r="K8" s="32"/>
      <c r="L8" s="37"/>
      <c r="M8" s="32"/>
      <c r="N8" s="32"/>
      <c r="O8" s="37"/>
      <c r="P8" s="32"/>
      <c r="Q8" s="32"/>
      <c r="R8" s="37"/>
      <c r="S8" s="32"/>
      <c r="T8" s="32"/>
    </row>
    <row r="9" spans="1:20" s="18" customFormat="1" ht="14.5" customHeight="1" x14ac:dyDescent="0.65">
      <c r="A9" s="1"/>
      <c r="B9" s="1"/>
      <c r="C9" s="1"/>
      <c r="E9" s="19"/>
      <c r="G9" s="33" t="s">
        <v>31</v>
      </c>
      <c r="H9" s="33"/>
      <c r="J9" s="33" t="s">
        <v>31</v>
      </c>
      <c r="K9" s="33"/>
      <c r="M9" s="33" t="s">
        <v>31</v>
      </c>
      <c r="N9" s="33"/>
      <c r="P9" s="33" t="s">
        <v>31</v>
      </c>
      <c r="Q9" s="33"/>
      <c r="S9" s="33" t="s">
        <v>31</v>
      </c>
      <c r="T9" s="33"/>
    </row>
    <row r="10" spans="1:20" customFormat="1" x14ac:dyDescent="0.55000000000000004">
      <c r="A10" s="1"/>
      <c r="B10" s="1"/>
      <c r="C10" s="1"/>
      <c r="D10" s="1" t="s">
        <v>207</v>
      </c>
      <c r="E10" s="46"/>
      <c r="F10" s="36" t="s">
        <v>253</v>
      </c>
      <c r="G10" s="5">
        <f>F46</f>
        <v>2.5957924864401849E-12</v>
      </c>
      <c r="H10" s="5"/>
      <c r="I10" s="36" t="s">
        <v>253</v>
      </c>
      <c r="J10" s="5">
        <f>I46</f>
        <v>2.1121044454885973E-12</v>
      </c>
      <c r="K10" s="5"/>
      <c r="L10" s="36"/>
      <c r="M10" s="5" t="e">
        <f>L46</f>
        <v>#N/A</v>
      </c>
      <c r="N10" s="5"/>
      <c r="O10" s="36"/>
      <c r="P10" s="5" t="e">
        <f>O46</f>
        <v>#N/A</v>
      </c>
      <c r="Q10" s="5"/>
      <c r="R10" s="36"/>
      <c r="S10" s="5" t="e">
        <f>R46</f>
        <v>#N/A</v>
      </c>
      <c r="T10" s="5"/>
    </row>
    <row r="11" spans="1:20" customFormat="1" x14ac:dyDescent="0.55000000000000004">
      <c r="A11" s="1"/>
      <c r="B11" s="1"/>
      <c r="C11" s="1"/>
      <c r="D11" s="1" t="s">
        <v>208</v>
      </c>
      <c r="E11" s="46"/>
      <c r="F11" s="36" t="s">
        <v>172</v>
      </c>
      <c r="G11" s="5">
        <f>F74</f>
        <v>1.5601221291383827E-14</v>
      </c>
      <c r="H11" s="5"/>
      <c r="I11" s="36" t="s">
        <v>172</v>
      </c>
      <c r="J11" s="5">
        <f>I74</f>
        <v>2.7980451229112291E-15</v>
      </c>
      <c r="K11" s="5"/>
      <c r="L11" s="36"/>
      <c r="M11" s="5" t="e">
        <f>L74</f>
        <v>#N/A</v>
      </c>
      <c r="N11" s="5"/>
      <c r="O11" s="36"/>
      <c r="P11" s="5" t="e">
        <f>O74</f>
        <v>#N/A</v>
      </c>
      <c r="Q11" s="5"/>
      <c r="R11" s="36"/>
      <c r="S11" s="5" t="e">
        <f>R74</f>
        <v>#N/A</v>
      </c>
      <c r="T11" s="5"/>
    </row>
    <row r="12" spans="1:20" customFormat="1" x14ac:dyDescent="0.55000000000000004">
      <c r="A12" s="1"/>
      <c r="B12" s="1"/>
      <c r="C12" s="1"/>
      <c r="D12" s="1" t="s">
        <v>186</v>
      </c>
      <c r="E12" s="46"/>
      <c r="F12" s="36" t="s">
        <v>227</v>
      </c>
      <c r="G12" s="5">
        <f>F102</f>
        <v>3.5753622136409879E-13</v>
      </c>
      <c r="H12" s="5"/>
      <c r="I12" s="36" t="s">
        <v>227</v>
      </c>
      <c r="J12" s="5">
        <f>I102</f>
        <v>9.5150768588832769E-14</v>
      </c>
      <c r="K12" s="5"/>
      <c r="L12" s="36"/>
      <c r="M12" s="5" t="e">
        <f>L102</f>
        <v>#N/A</v>
      </c>
      <c r="N12" s="5"/>
      <c r="O12" s="36"/>
      <c r="P12" s="5" t="e">
        <f>O102</f>
        <v>#N/A</v>
      </c>
      <c r="Q12" s="5"/>
      <c r="R12" s="36"/>
      <c r="S12" s="5" t="e">
        <f>R102</f>
        <v>#N/A</v>
      </c>
      <c r="T12" s="5"/>
    </row>
    <row r="13" spans="1:20" customFormat="1" x14ac:dyDescent="0.55000000000000004">
      <c r="A13" s="1"/>
      <c r="B13" s="1"/>
      <c r="C13" s="1"/>
      <c r="D13" s="1" t="s">
        <v>189</v>
      </c>
      <c r="E13" s="46"/>
      <c r="F13" s="36" t="s">
        <v>180</v>
      </c>
      <c r="G13" s="5">
        <f>F130</f>
        <v>1.1388866242211697E-12</v>
      </c>
      <c r="H13" s="5"/>
      <c r="I13" s="36" t="s">
        <v>180</v>
      </c>
      <c r="J13" s="5">
        <f>I130</f>
        <v>1.0871190503929348E-12</v>
      </c>
      <c r="K13" s="5"/>
      <c r="L13" s="36"/>
      <c r="M13" s="5" t="e">
        <f>L130</f>
        <v>#N/A</v>
      </c>
      <c r="N13" s="5"/>
      <c r="O13" s="36"/>
      <c r="P13" s="5" t="e">
        <f>O130</f>
        <v>#N/A</v>
      </c>
      <c r="Q13" s="5"/>
      <c r="R13" s="36"/>
      <c r="S13" s="5" t="e">
        <f>R130</f>
        <v>#N/A</v>
      </c>
      <c r="T13" s="5"/>
    </row>
    <row r="14" spans="1:20" customFormat="1" x14ac:dyDescent="0.55000000000000004">
      <c r="A14" s="1"/>
      <c r="B14" s="1"/>
      <c r="C14" s="1"/>
      <c r="D14" s="1" t="s">
        <v>41</v>
      </c>
      <c r="E14" s="46"/>
      <c r="F14" s="36" t="s">
        <v>126</v>
      </c>
      <c r="G14" s="5">
        <f>F151</f>
        <v>8.8357249882803691E-13</v>
      </c>
      <c r="H14" s="5"/>
      <c r="I14" s="36" t="s">
        <v>126</v>
      </c>
      <c r="J14" s="5">
        <f>I151</f>
        <v>8.8357249882803691E-13</v>
      </c>
      <c r="K14" s="5"/>
      <c r="L14" s="36"/>
      <c r="M14" s="5" t="e">
        <f>L151</f>
        <v>#N/A</v>
      </c>
      <c r="N14" s="5"/>
      <c r="O14" s="36"/>
      <c r="P14" s="5" t="e">
        <f>O151</f>
        <v>#N/A</v>
      </c>
      <c r="Q14" s="5"/>
      <c r="R14" s="36"/>
      <c r="S14" s="5" t="e">
        <f>R151</f>
        <v>#N/A</v>
      </c>
      <c r="T14" s="5"/>
    </row>
    <row r="15" spans="1:20" customFormat="1" x14ac:dyDescent="0.55000000000000004">
      <c r="A15" s="1"/>
      <c r="B15" s="1"/>
      <c r="C15" s="1"/>
      <c r="D15" s="1" t="s">
        <v>40</v>
      </c>
      <c r="E15" s="46"/>
      <c r="F15" s="36" t="s">
        <v>126</v>
      </c>
      <c r="G15" s="5">
        <f>F166</f>
        <v>0</v>
      </c>
      <c r="H15" s="5"/>
      <c r="I15" s="36" t="s">
        <v>126</v>
      </c>
      <c r="J15" s="5">
        <f>I166</f>
        <v>0</v>
      </c>
      <c r="K15" s="5"/>
      <c r="L15" s="36"/>
      <c r="M15" s="5" t="e">
        <f>L166</f>
        <v>#N/A</v>
      </c>
      <c r="N15" s="5"/>
      <c r="O15" s="36"/>
      <c r="P15" s="5" t="e">
        <f>O166</f>
        <v>#N/A</v>
      </c>
      <c r="Q15" s="5"/>
      <c r="R15" s="36"/>
      <c r="S15" s="5" t="e">
        <f>R166</f>
        <v>#N/A</v>
      </c>
      <c r="T15" s="5"/>
    </row>
    <row r="16" spans="1:20" customFormat="1" ht="15" customHeight="1" x14ac:dyDescent="0.55000000000000004">
      <c r="A16" s="1"/>
      <c r="B16" s="1"/>
      <c r="C16" s="1"/>
      <c r="D16" s="1" t="s">
        <v>160</v>
      </c>
      <c r="E16" s="46"/>
      <c r="F16" s="36" t="s">
        <v>162</v>
      </c>
      <c r="G16" s="5">
        <f>F180</f>
        <v>2.4779963486885042E-14</v>
      </c>
      <c r="H16" s="5"/>
      <c r="I16" s="36" t="s">
        <v>162</v>
      </c>
      <c r="J16" s="5">
        <f>I180</f>
        <v>2.4779963486885042E-14</v>
      </c>
      <c r="K16" s="5"/>
      <c r="L16" s="36"/>
      <c r="M16" s="5" t="e">
        <f>L180</f>
        <v>#N/A</v>
      </c>
      <c r="N16" s="5"/>
      <c r="O16" s="36"/>
      <c r="P16" s="5" t="e">
        <f>O180</f>
        <v>#N/A</v>
      </c>
      <c r="Q16" s="5"/>
      <c r="R16" s="36"/>
      <c r="S16" s="5" t="e">
        <f>R180</f>
        <v>#N/A</v>
      </c>
      <c r="T16" s="5"/>
    </row>
    <row r="17" spans="1:20" customFormat="1" ht="15" customHeight="1" thickBot="1" x14ac:dyDescent="0.6">
      <c r="A17" s="1"/>
      <c r="B17" s="1"/>
      <c r="C17" s="1"/>
      <c r="D17" s="1" t="s">
        <v>161</v>
      </c>
      <c r="E17" s="46"/>
      <c r="F17" s="36" t="s">
        <v>164</v>
      </c>
      <c r="G17" s="5">
        <f>F193</f>
        <v>0</v>
      </c>
      <c r="H17" s="5"/>
      <c r="I17" s="36" t="s">
        <v>164</v>
      </c>
      <c r="J17" s="5">
        <f>I193</f>
        <v>0</v>
      </c>
      <c r="K17" s="5"/>
      <c r="L17" s="36"/>
      <c r="M17" s="5" t="e">
        <f>L193</f>
        <v>#N/A</v>
      </c>
      <c r="N17" s="5"/>
      <c r="O17" s="36"/>
      <c r="P17" s="5" t="e">
        <f>O193</f>
        <v>#N/A</v>
      </c>
      <c r="Q17" s="5"/>
      <c r="R17" s="36"/>
      <c r="S17" s="5" t="e">
        <f>R193</f>
        <v>#N/A</v>
      </c>
      <c r="T17" s="5"/>
    </row>
    <row r="18" spans="1:20" customFormat="1" ht="14.7" thickBot="1" x14ac:dyDescent="0.6">
      <c r="A18" s="1"/>
      <c r="B18" s="1"/>
      <c r="C18" s="1"/>
      <c r="D18" s="17" t="s">
        <v>43</v>
      </c>
      <c r="E18" s="46"/>
      <c r="F18" s="1"/>
      <c r="G18" s="16">
        <f>SUM(G10:G17)</f>
        <v>5.0161690156317598E-12</v>
      </c>
      <c r="H18" s="6"/>
      <c r="I18" s="1"/>
      <c r="J18" s="16">
        <f>SUM(J10:J17)</f>
        <v>4.2055247719081984E-12</v>
      </c>
      <c r="K18" s="6"/>
      <c r="L18" s="1"/>
      <c r="M18" s="16" t="e">
        <f>SUM(M10:M17)</f>
        <v>#N/A</v>
      </c>
      <c r="N18" s="6"/>
      <c r="O18" s="1"/>
      <c r="P18" s="16" t="e">
        <f>SUM(P10:P17)</f>
        <v>#N/A</v>
      </c>
      <c r="Q18" s="6"/>
      <c r="R18" s="1"/>
      <c r="S18" s="16" t="e">
        <f>SUM(S10:S17)</f>
        <v>#N/A</v>
      </c>
      <c r="T18" s="6"/>
    </row>
    <row r="19" spans="1:20" customFormat="1" x14ac:dyDescent="0.55000000000000004">
      <c r="A19" s="34"/>
      <c r="B19" s="1" t="s">
        <v>30</v>
      </c>
      <c r="C19" s="3"/>
      <c r="D19" s="1"/>
      <c r="E19" s="4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" customFormat="1" x14ac:dyDescent="0.55000000000000004">
      <c r="A20" s="3" t="s">
        <v>45</v>
      </c>
      <c r="B20" s="25" t="s">
        <v>32</v>
      </c>
      <c r="C20" s="3" t="s">
        <v>28</v>
      </c>
      <c r="D20" s="3" t="s">
        <v>29</v>
      </c>
      <c r="E20" s="25" t="s">
        <v>0</v>
      </c>
      <c r="F20" s="7"/>
      <c r="I20" s="7"/>
      <c r="L20" s="7"/>
      <c r="O20" s="7"/>
      <c r="R20" s="7"/>
    </row>
    <row r="21" spans="1:20" customFormat="1" x14ac:dyDescent="0.55000000000000004">
      <c r="A21" s="93" t="s">
        <v>207</v>
      </c>
      <c r="B21" s="46" t="s">
        <v>46</v>
      </c>
      <c r="C21" s="1" t="s">
        <v>44</v>
      </c>
      <c r="D21" s="1" t="s">
        <v>139</v>
      </c>
      <c r="E21" s="46"/>
      <c r="F21" s="13" t="str">
        <f>INDEX(tbl_material[],MATCH(F$10,tbl_material[ERP identifier],0),MATCH(RP_concrete!$D$21,tbl_material[#Headers],0))</f>
        <v>cement unspecified</v>
      </c>
      <c r="G21" s="1"/>
      <c r="H21" s="1"/>
      <c r="I21" s="13" t="str">
        <f>INDEX(tbl_material[],MATCH(I$10,tbl_material[ERP identifier],0),MATCH(RP_concrete!$D$21,tbl_material[#Headers],0))</f>
        <v>cement unspecified</v>
      </c>
      <c r="J21" s="1"/>
      <c r="K21" s="1"/>
      <c r="L21" s="13" t="e">
        <f>INDEX(tbl_material[],MATCH(L$10,tbl_material[ERP identifier],0),MATCH(RP_concrete!$D$21,tbl_material[#Headers],0))</f>
        <v>#N/A</v>
      </c>
      <c r="M21" s="1"/>
      <c r="N21" s="1"/>
      <c r="O21" s="13" t="e">
        <f>INDEX(tbl_material[],MATCH(O$10,tbl_material[ERP identifier],0),MATCH(RP_concrete!$D$21,tbl_material[#Headers],0))</f>
        <v>#N/A</v>
      </c>
      <c r="P21" s="1"/>
      <c r="Q21" s="1"/>
      <c r="R21" s="13" t="e">
        <f>INDEX(tbl_material[],MATCH(R$10,tbl_material[ERP identifier],0),MATCH(RP_concrete!$D$21,tbl_material[#Headers],0))</f>
        <v>#N/A</v>
      </c>
      <c r="S21" s="1"/>
      <c r="T21" s="1"/>
    </row>
    <row r="22" spans="1:20" customFormat="1" x14ac:dyDescent="0.55000000000000004">
      <c r="A22" s="93"/>
      <c r="B22" s="25" t="s">
        <v>10</v>
      </c>
      <c r="C22" s="1" t="s">
        <v>26</v>
      </c>
      <c r="D22" s="1" t="s">
        <v>109</v>
      </c>
      <c r="E22" s="46" t="s">
        <v>3</v>
      </c>
      <c r="F22" s="5">
        <f>INDEX(tbl_ERP[],MATCH(F21,tbl_ERP[Identifier],0),MATCH(RP_concrete!$D$22,tbl_ERP[#Headers],0))</f>
        <v>1317998267531.7129</v>
      </c>
      <c r="G22" s="1"/>
      <c r="H22" s="1"/>
      <c r="I22" s="5">
        <f>INDEX(tbl_ERP[],MATCH(I21,tbl_ERP[Identifier],0),MATCH(RP_concrete!$D$22,tbl_ERP[#Headers],0))</f>
        <v>1317998267531.7129</v>
      </c>
      <c r="J22" s="1"/>
      <c r="K22" s="1"/>
      <c r="L22" s="5" t="e">
        <f>INDEX(tbl_ERP[],MATCH(L21,tbl_ERP[Identifier],0),MATCH(RP_concrete!$D$22,tbl_ERP[#Headers],0))</f>
        <v>#N/A</v>
      </c>
      <c r="M22" s="1"/>
      <c r="N22" s="1"/>
      <c r="O22" s="5" t="e">
        <f>INDEX(tbl_ERP[],MATCH(O21,tbl_ERP[Identifier],0),MATCH(RP_concrete!$D$22,tbl_ERP[#Headers],0))</f>
        <v>#N/A</v>
      </c>
      <c r="P22" s="1"/>
      <c r="Q22" s="1"/>
      <c r="R22" s="5" t="e">
        <f>INDEX(tbl_ERP[],MATCH(R21,tbl_ERP[Identifier],0),MATCH(RP_concrete!$D$22,tbl_ERP[#Headers],0))</f>
        <v>#N/A</v>
      </c>
      <c r="S22" s="1"/>
      <c r="T22" s="1"/>
    </row>
    <row r="23" spans="1:20" customFormat="1" x14ac:dyDescent="0.55000000000000004">
      <c r="A23" s="93"/>
      <c r="B23" s="1"/>
      <c r="C23" s="1"/>
      <c r="D23" s="1"/>
      <c r="E23" s="46"/>
      <c r="F23" s="2"/>
      <c r="G23" s="1"/>
      <c r="H23" s="1"/>
      <c r="I23" s="2"/>
      <c r="J23" s="1"/>
      <c r="K23" s="1"/>
      <c r="L23" s="2"/>
      <c r="M23" s="1"/>
      <c r="N23" s="1"/>
      <c r="O23" s="2"/>
      <c r="P23" s="1"/>
      <c r="Q23" s="1"/>
      <c r="R23" s="2"/>
      <c r="S23" s="1"/>
      <c r="T23" s="1"/>
    </row>
    <row r="24" spans="1:20" customFormat="1" x14ac:dyDescent="0.55000000000000004">
      <c r="A24" s="93"/>
      <c r="B24" s="92"/>
      <c r="C24" s="1" t="s">
        <v>7</v>
      </c>
      <c r="D24" s="1" t="s">
        <v>34</v>
      </c>
      <c r="E24" s="46" t="s">
        <v>1</v>
      </c>
      <c r="F24" s="38">
        <f>INDEX(tbl_material[],MATCH(F$10,tbl_material[material],0),MATCH(RP_concrete!$F$5,tbl_material[#Headers],0))</f>
        <v>1</v>
      </c>
      <c r="G24" s="1"/>
      <c r="H24" s="1"/>
      <c r="I24" s="38">
        <f>INDEX(tbl_material[],MATCH(I$10,tbl_material[material],0),MATCH(RP_concrete!$I$5,tbl_material[#Headers],0))</f>
        <v>1</v>
      </c>
      <c r="J24" s="1"/>
      <c r="K24" s="1"/>
      <c r="L24" s="38" t="e">
        <f>INDEX(tbl_material[],MATCH(L$10,tbl_material[material],0),MATCH(RP_concrete!$I$5,tbl_material[#Headers],0))</f>
        <v>#N/A</v>
      </c>
      <c r="M24" s="1"/>
      <c r="N24" s="1"/>
      <c r="O24" s="38" t="e">
        <f>INDEX(tbl_material[],MATCH(O$10,tbl_material[material],0),MATCH(RP_concrete!$I$5,tbl_material[#Headers],0))</f>
        <v>#N/A</v>
      </c>
      <c r="P24" s="1"/>
      <c r="Q24" s="1"/>
      <c r="R24" s="38" t="e">
        <f>INDEX(tbl_material[],MATCH(R$10,tbl_material[material],0),MATCH(RP_concrete!$I$5,tbl_material[#Headers],0))</f>
        <v>#N/A</v>
      </c>
      <c r="S24" s="1"/>
      <c r="T24" s="1"/>
    </row>
    <row r="25" spans="1:20" customFormat="1" x14ac:dyDescent="0.55000000000000004">
      <c r="A25" s="93"/>
      <c r="B25" s="92"/>
      <c r="C25" s="1" t="s">
        <v>33</v>
      </c>
      <c r="D25" s="1" t="s">
        <v>34</v>
      </c>
      <c r="E25" s="46" t="s">
        <v>1</v>
      </c>
      <c r="F25" s="4">
        <f>1-F24</f>
        <v>0</v>
      </c>
      <c r="G25" s="1"/>
      <c r="H25" s="1"/>
      <c r="I25" s="4">
        <f>1-I24</f>
        <v>0</v>
      </c>
      <c r="J25" s="1"/>
      <c r="K25" s="1"/>
      <c r="L25" s="4" t="e">
        <f>1-L24</f>
        <v>#N/A</v>
      </c>
      <c r="M25" s="1"/>
      <c r="N25" s="1"/>
      <c r="O25" s="4" t="e">
        <f>1-O24</f>
        <v>#N/A</v>
      </c>
      <c r="P25" s="1"/>
      <c r="Q25" s="1"/>
      <c r="R25" s="4" t="e">
        <f>1-R24</f>
        <v>#N/A</v>
      </c>
      <c r="S25" s="1"/>
      <c r="T25" s="1"/>
    </row>
    <row r="26" spans="1:20" customFormat="1" x14ac:dyDescent="0.55000000000000004">
      <c r="A26" s="93"/>
      <c r="B26" s="1"/>
      <c r="C26" s="1"/>
      <c r="D26" s="1"/>
      <c r="E26" s="46"/>
      <c r="F26" s="10"/>
      <c r="G26" s="1"/>
      <c r="H26" s="1"/>
      <c r="I26" s="10"/>
      <c r="J26" s="1"/>
      <c r="K26" s="1"/>
      <c r="L26" s="10"/>
      <c r="M26" s="1"/>
      <c r="N26" s="1"/>
      <c r="O26" s="10"/>
      <c r="P26" s="1"/>
      <c r="Q26" s="1"/>
      <c r="R26" s="10"/>
      <c r="S26" s="1"/>
      <c r="T26" s="1"/>
    </row>
    <row r="27" spans="1:20" customFormat="1" x14ac:dyDescent="0.55000000000000004">
      <c r="A27" s="93"/>
      <c r="B27" s="92"/>
      <c r="C27" s="1" t="s">
        <v>57</v>
      </c>
      <c r="D27" s="1" t="s">
        <v>202</v>
      </c>
      <c r="E27" s="46" t="s">
        <v>2</v>
      </c>
      <c r="F27" s="38">
        <f>INDEX(tbl_material[],MATCH(F$10,tbl_material[material],0),MATCH(RP_concrete!$C$27,tbl_material[#Headers],0))</f>
        <v>170</v>
      </c>
      <c r="G27" s="15"/>
      <c r="H27" s="15"/>
      <c r="I27" s="38">
        <f>INDEX(tbl_material[],MATCH(I$10,tbl_material[material],0),MATCH(RP_concrete!$C$27,tbl_material[#Headers],0))</f>
        <v>170</v>
      </c>
      <c r="J27" s="15"/>
      <c r="K27" s="15"/>
      <c r="L27" s="38" t="e">
        <f>INDEX(tbl_material[],MATCH(L$10,tbl_material[material],0),MATCH(RP_concrete!$C$27,tbl_material[#Headers],0))</f>
        <v>#N/A</v>
      </c>
      <c r="M27" s="15"/>
      <c r="N27" s="15"/>
      <c r="O27" s="38" t="e">
        <f>INDEX(tbl_material[],MATCH(O$10,tbl_material[material],0),MATCH(RP_concrete!$C$27,tbl_material[#Headers],0))</f>
        <v>#N/A</v>
      </c>
      <c r="P27" s="15"/>
      <c r="Q27" s="15"/>
      <c r="R27" s="38" t="e">
        <f>INDEX(tbl_material[],MATCH(R$10,tbl_material[material],0),MATCH(RP_concrete!$C$27,tbl_material[#Headers],0))</f>
        <v>#N/A</v>
      </c>
      <c r="S27" s="15"/>
      <c r="T27" s="15"/>
    </row>
    <row r="28" spans="1:20" customFormat="1" x14ac:dyDescent="0.55000000000000004">
      <c r="A28" s="93"/>
      <c r="B28" s="92"/>
      <c r="C28" s="1" t="s">
        <v>58</v>
      </c>
      <c r="D28" s="1" t="s">
        <v>24</v>
      </c>
      <c r="E28" s="46" t="s">
        <v>1</v>
      </c>
      <c r="F28" s="38">
        <f>INDEX(tbl_material[],MATCH(F$10,tbl_material[material],0),MATCH(RP_concrete!$C$28,tbl_material[#Headers],0))</f>
        <v>0.1</v>
      </c>
      <c r="G28" s="1"/>
      <c r="H28" s="1"/>
      <c r="I28" s="38">
        <f>INDEX(tbl_material[],MATCH(I$10,tbl_material[material],0),MATCH(RP_concrete!$C$28,tbl_material[#Headers],0))</f>
        <v>0.1</v>
      </c>
      <c r="J28" s="1"/>
      <c r="K28" s="1"/>
      <c r="L28" s="38" t="e">
        <f>INDEX(tbl_material[],MATCH(L$10,tbl_material[material],0),MATCH(RP_concrete!$C$28,tbl_material[#Headers],0))</f>
        <v>#N/A</v>
      </c>
      <c r="M28" s="1"/>
      <c r="N28" s="1"/>
      <c r="O28" s="38" t="e">
        <f>INDEX(tbl_material[],MATCH(O$10,tbl_material[material],0),MATCH(RP_concrete!$C$28,tbl_material[#Headers],0))</f>
        <v>#N/A</v>
      </c>
      <c r="P28" s="1"/>
      <c r="Q28" s="1"/>
      <c r="R28" s="38" t="e">
        <f>INDEX(tbl_material[],MATCH(R$10,tbl_material[material],0),MATCH(RP_concrete!$C$28,tbl_material[#Headers],0))</f>
        <v>#N/A</v>
      </c>
      <c r="S28" s="1"/>
      <c r="T28" s="1"/>
    </row>
    <row r="29" spans="1:20" customFormat="1" x14ac:dyDescent="0.55000000000000004">
      <c r="A29" s="93"/>
      <c r="B29" s="92"/>
      <c r="C29" s="1" t="s">
        <v>58</v>
      </c>
      <c r="D29" s="1" t="s">
        <v>25</v>
      </c>
      <c r="E29" s="46" t="s">
        <v>2</v>
      </c>
      <c r="F29" s="15">
        <f>F27*F28</f>
        <v>17</v>
      </c>
      <c r="G29" s="1"/>
      <c r="H29" s="1"/>
      <c r="I29" s="15">
        <f>I27*I28</f>
        <v>17</v>
      </c>
      <c r="J29" s="1"/>
      <c r="K29" s="1"/>
      <c r="L29" s="15" t="e">
        <f>L27*L28</f>
        <v>#N/A</v>
      </c>
      <c r="M29" s="1"/>
      <c r="N29" s="1"/>
      <c r="O29" s="15" t="e">
        <f>O27*O28</f>
        <v>#N/A</v>
      </c>
      <c r="P29" s="1"/>
      <c r="Q29" s="1"/>
      <c r="R29" s="15" t="e">
        <f>R27*R28</f>
        <v>#N/A</v>
      </c>
      <c r="S29" s="1"/>
      <c r="T29" s="1"/>
    </row>
    <row r="30" spans="1:20" customFormat="1" x14ac:dyDescent="0.55000000000000004">
      <c r="A30" s="93"/>
      <c r="B30" s="92"/>
      <c r="C30" s="1" t="s">
        <v>23</v>
      </c>
      <c r="D30" s="1" t="s">
        <v>25</v>
      </c>
      <c r="E30" s="46" t="s">
        <v>2</v>
      </c>
      <c r="F30" s="15">
        <f>F27*(1+F28)</f>
        <v>187.00000000000003</v>
      </c>
      <c r="G30" s="1"/>
      <c r="H30" s="1"/>
      <c r="I30" s="15">
        <f>I27*(1+I28)</f>
        <v>187.00000000000003</v>
      </c>
      <c r="J30" s="1"/>
      <c r="K30" s="1"/>
      <c r="L30" s="15" t="e">
        <f>L27*(1+L28)</f>
        <v>#N/A</v>
      </c>
      <c r="M30" s="1"/>
      <c r="N30" s="1"/>
      <c r="O30" s="15" t="e">
        <f>O27*(1+O28)</f>
        <v>#N/A</v>
      </c>
      <c r="P30" s="1"/>
      <c r="Q30" s="1"/>
      <c r="R30" s="15" t="e">
        <f>R27*(1+R28)</f>
        <v>#N/A</v>
      </c>
      <c r="S30" s="1"/>
      <c r="T30" s="1"/>
    </row>
    <row r="31" spans="1:20" customFormat="1" x14ac:dyDescent="0.55000000000000004">
      <c r="A31" s="93"/>
      <c r="B31" s="1"/>
      <c r="C31" s="1"/>
      <c r="D31" s="1"/>
      <c r="E31" s="46"/>
      <c r="F31" s="4"/>
      <c r="G31" s="1"/>
      <c r="H31" s="1"/>
      <c r="I31" s="4"/>
      <c r="J31" s="1"/>
      <c r="K31" s="1"/>
      <c r="L31" s="4"/>
      <c r="M31" s="1"/>
      <c r="N31" s="1"/>
      <c r="O31" s="4"/>
      <c r="P31" s="1"/>
      <c r="Q31" s="1"/>
      <c r="R31" s="4"/>
      <c r="S31" s="1"/>
      <c r="T31" s="1"/>
    </row>
    <row r="32" spans="1:20" customFormat="1" x14ac:dyDescent="0.55000000000000004">
      <c r="A32" s="93"/>
      <c r="B32" s="92"/>
      <c r="C32" s="1" t="s">
        <v>8</v>
      </c>
      <c r="D32" s="1" t="s">
        <v>59</v>
      </c>
      <c r="E32" s="46" t="s">
        <v>1</v>
      </c>
      <c r="F32" s="38">
        <f>INDEX(tbl_material[],MATCH(F$10,tbl_material[material],0),MATCH(RP_concrete!$C$32,tbl_material[#Headers],0))</f>
        <v>1</v>
      </c>
      <c r="G32" s="1"/>
      <c r="H32" s="1"/>
      <c r="I32" s="38">
        <f>INDEX(tbl_material[],MATCH(I$10,tbl_material[material],0),MATCH(RP_concrete!$C$32,tbl_material[#Headers],0))</f>
        <v>1</v>
      </c>
      <c r="J32" s="1"/>
      <c r="K32" s="1"/>
      <c r="L32" s="38" t="e">
        <f>INDEX(tbl_material[],MATCH(L$10,tbl_material[material],0),MATCH(RP_concrete!$C$32,tbl_material[#Headers],0))</f>
        <v>#N/A</v>
      </c>
      <c r="M32" s="1"/>
      <c r="N32" s="1"/>
      <c r="O32" s="38" t="e">
        <f>INDEX(tbl_material[],MATCH(O$10,tbl_material[material],0),MATCH(RP_concrete!$C$32,tbl_material[#Headers],0))</f>
        <v>#N/A</v>
      </c>
      <c r="P32" s="1"/>
      <c r="Q32" s="1"/>
      <c r="R32" s="38" t="e">
        <f>INDEX(tbl_material[],MATCH(R$10,tbl_material[material],0),MATCH(RP_concrete!$C$32,tbl_material[#Headers],0))</f>
        <v>#N/A</v>
      </c>
      <c r="S32" s="1"/>
      <c r="T32" s="1"/>
    </row>
    <row r="33" spans="1:20" customFormat="1" x14ac:dyDescent="0.55000000000000004">
      <c r="A33" s="93"/>
      <c r="B33" s="92"/>
      <c r="C33" s="1" t="s">
        <v>9</v>
      </c>
      <c r="D33" s="1" t="s">
        <v>60</v>
      </c>
      <c r="E33" s="46" t="s">
        <v>1</v>
      </c>
      <c r="F33" s="38">
        <f>INDEX(tbl_material[],MATCH(F$10,tbl_material[material],0),MATCH(RP_concrete!$C$33,tbl_material[#Headers],0))</f>
        <v>0</v>
      </c>
      <c r="G33" s="1"/>
      <c r="H33" s="1"/>
      <c r="I33" s="38">
        <f>INDEX(tbl_material[],MATCH(I$10,tbl_material[material],0),MATCH(RP_concrete!$C$33,tbl_material[#Headers],0))</f>
        <v>0</v>
      </c>
      <c r="J33" s="1"/>
      <c r="K33" s="1"/>
      <c r="L33" s="38" t="e">
        <f>INDEX(tbl_material[],MATCH(L$10,tbl_material[material],0),MATCH(RP_concrete!$C$33,tbl_material[#Headers],0))</f>
        <v>#N/A</v>
      </c>
      <c r="M33" s="1"/>
      <c r="N33" s="1"/>
      <c r="O33" s="38" t="e">
        <f>INDEX(tbl_material[],MATCH(O$10,tbl_material[material],0),MATCH(RP_concrete!$C$33,tbl_material[#Headers],0))</f>
        <v>#N/A</v>
      </c>
      <c r="P33" s="1"/>
      <c r="Q33" s="1"/>
      <c r="R33" s="38" t="e">
        <f>INDEX(tbl_material[],MATCH(R$10,tbl_material[material],0),MATCH(RP_concrete!$C$33,tbl_material[#Headers],0))</f>
        <v>#N/A</v>
      </c>
      <c r="S33" s="1"/>
      <c r="T33" s="1"/>
    </row>
    <row r="34" spans="1:20" customFormat="1" x14ac:dyDescent="0.55000000000000004">
      <c r="A34" s="93"/>
      <c r="B34" s="92"/>
      <c r="C34" s="1" t="s">
        <v>62</v>
      </c>
      <c r="D34" s="1" t="s">
        <v>60</v>
      </c>
      <c r="E34" s="46" t="s">
        <v>1</v>
      </c>
      <c r="F34" s="38">
        <f>INDEX(tbl_material[],MATCH(F$10,tbl_material[material],0),MATCH(RP_concrete!$C$34,tbl_material[#Headers],0))</f>
        <v>0.9</v>
      </c>
      <c r="G34" s="1"/>
      <c r="H34" s="1"/>
      <c r="I34" s="38">
        <f>INDEX(tbl_material[],MATCH(I$10,tbl_material[material],0),MATCH(RP_concrete!$C$34,tbl_material[#Headers],0))</f>
        <v>0.9</v>
      </c>
      <c r="J34" s="1"/>
      <c r="K34" s="1"/>
      <c r="L34" s="38" t="e">
        <f>INDEX(tbl_material[],MATCH(L$10,tbl_material[material],0),MATCH(RP_concrete!$C$34,tbl_material[#Headers],0))</f>
        <v>#N/A</v>
      </c>
      <c r="M34" s="1"/>
      <c r="N34" s="1"/>
      <c r="O34" s="38" t="e">
        <f>INDEX(tbl_material[],MATCH(O$10,tbl_material[material],0),MATCH(RP_concrete!$C$34,tbl_material[#Headers],0))</f>
        <v>#N/A</v>
      </c>
      <c r="P34" s="1"/>
      <c r="Q34" s="1"/>
      <c r="R34" s="38" t="e">
        <f>INDEX(tbl_material[],MATCH(R$10,tbl_material[material],0),MATCH(RP_concrete!$C$34,tbl_material[#Headers],0))</f>
        <v>#N/A</v>
      </c>
      <c r="S34" s="1"/>
      <c r="T34" s="1"/>
    </row>
    <row r="35" spans="1:20" customFormat="1" x14ac:dyDescent="0.55000000000000004">
      <c r="A35" s="93"/>
      <c r="B35" s="92"/>
      <c r="C35" s="1" t="s">
        <v>22</v>
      </c>
      <c r="D35" s="1" t="s">
        <v>60</v>
      </c>
      <c r="E35" s="46" t="s">
        <v>1</v>
      </c>
      <c r="F35" s="4">
        <f>1-F32+F32*(1-F33-F34)</f>
        <v>9.9999999999999978E-2</v>
      </c>
      <c r="G35" s="4"/>
      <c r="H35" s="4"/>
      <c r="I35" s="4">
        <f>1-I32+I32*(1-I33-I34)</f>
        <v>9.9999999999999978E-2</v>
      </c>
      <c r="J35" s="4"/>
      <c r="K35" s="4"/>
      <c r="L35" s="4" t="e">
        <f>1-L32+L32*(1-L33-L34)</f>
        <v>#N/A</v>
      </c>
      <c r="M35" s="4"/>
      <c r="N35" s="4"/>
      <c r="O35" s="4" t="e">
        <f>1-O32+O32*(1-O33-O34)</f>
        <v>#N/A</v>
      </c>
      <c r="P35" s="4"/>
      <c r="Q35" s="4"/>
      <c r="R35" s="4" t="e">
        <f>1-R32+R32*(1-R33-R34)</f>
        <v>#N/A</v>
      </c>
      <c r="S35" s="4"/>
      <c r="T35" s="4"/>
    </row>
    <row r="36" spans="1:20" customFormat="1" x14ac:dyDescent="0.55000000000000004">
      <c r="A36" s="93"/>
      <c r="B36" s="1"/>
      <c r="C36" s="1"/>
      <c r="D36" s="1"/>
      <c r="E36" s="46"/>
      <c r="F36" s="4"/>
      <c r="G36" s="1"/>
      <c r="H36" s="1"/>
      <c r="I36" s="4"/>
      <c r="J36" s="1"/>
      <c r="K36" s="1"/>
      <c r="L36" s="4"/>
      <c r="M36" s="1"/>
      <c r="N36" s="1"/>
      <c r="O36" s="4"/>
      <c r="P36" s="1"/>
      <c r="Q36" s="1"/>
      <c r="R36" s="4"/>
      <c r="S36" s="1"/>
      <c r="T36" s="1"/>
    </row>
    <row r="37" spans="1:20" customFormat="1" x14ac:dyDescent="0.55000000000000004">
      <c r="A37" s="93"/>
      <c r="B37" s="92"/>
      <c r="C37" s="1" t="s">
        <v>8</v>
      </c>
      <c r="D37" s="1" t="s">
        <v>20</v>
      </c>
      <c r="E37" s="46" t="s">
        <v>1</v>
      </c>
      <c r="F37" s="38">
        <f>INDEX(tbl_material[],MATCH(F$10,tbl_material[material],0),MATCH(RP_concrete!$F$6,tbl_material[#Headers],0))</f>
        <v>1</v>
      </c>
      <c r="G37" s="24"/>
      <c r="H37" s="24"/>
      <c r="I37" s="38">
        <f>INDEX(tbl_material[],MATCH(I$10,tbl_material[material],0),MATCH(RP_concrete!$I$6,tbl_material[#Headers],0))</f>
        <v>1</v>
      </c>
      <c r="J37" s="24"/>
      <c r="K37" s="24"/>
      <c r="L37" s="38" t="e">
        <f>INDEX(tbl_material[],MATCH(L$10,tbl_material[material],0),MATCH(RP_concrete!$I$6,tbl_material[#Headers],0))</f>
        <v>#N/A</v>
      </c>
      <c r="M37" s="24"/>
      <c r="N37" s="24"/>
      <c r="O37" s="38" t="e">
        <f>INDEX(tbl_material[],MATCH(O$10,tbl_material[material],0),MATCH(RP_concrete!$I$6,tbl_material[#Headers],0))</f>
        <v>#N/A</v>
      </c>
      <c r="P37" s="24"/>
      <c r="Q37" s="24"/>
      <c r="R37" s="38" t="e">
        <f>INDEX(tbl_material[],MATCH(R$10,tbl_material[material],0),MATCH(RP_concrete!$I$6,tbl_material[#Headers],0))</f>
        <v>#N/A</v>
      </c>
      <c r="S37" s="24"/>
      <c r="T37" s="24"/>
    </row>
    <row r="38" spans="1:20" customFormat="1" x14ac:dyDescent="0.55000000000000004">
      <c r="A38" s="93"/>
      <c r="B38" s="92"/>
      <c r="C38" s="1" t="s">
        <v>9</v>
      </c>
      <c r="D38" s="1" t="s">
        <v>61</v>
      </c>
      <c r="E38" s="46" t="s">
        <v>1</v>
      </c>
      <c r="F38" s="38">
        <f>INDEX(tbl_material[],MATCH(F$10,tbl_material[material],0),MATCH(RP_concrete!$F$7,tbl_material[#Headers],0))</f>
        <v>0</v>
      </c>
      <c r="G38" s="4"/>
      <c r="H38" s="4"/>
      <c r="I38" s="38">
        <f>INDEX(tbl_material[],MATCH(I$10,tbl_material[material],0),MATCH(RP_concrete!$I$7,tbl_material[#Headers],0))</f>
        <v>0</v>
      </c>
      <c r="J38" s="4"/>
      <c r="K38" s="4"/>
      <c r="L38" s="38" t="e">
        <f>INDEX(tbl_material[],MATCH(L$10,tbl_material[material],0),MATCH(RP_concrete!$I$7,tbl_material[#Headers],0))</f>
        <v>#N/A</v>
      </c>
      <c r="M38" s="4"/>
      <c r="N38" s="4"/>
      <c r="O38" s="38" t="e">
        <f>INDEX(tbl_material[],MATCH(O$10,tbl_material[material],0),MATCH(RP_concrete!$I$7,tbl_material[#Headers],0))</f>
        <v>#N/A</v>
      </c>
      <c r="P38" s="4"/>
      <c r="Q38" s="4"/>
      <c r="R38" s="38" t="e">
        <f>INDEX(tbl_material[],MATCH(R$10,tbl_material[material],0),MATCH(RP_concrete!$I$7,tbl_material[#Headers],0))</f>
        <v>#N/A</v>
      </c>
      <c r="S38" s="4"/>
      <c r="T38" s="4"/>
    </row>
    <row r="39" spans="1:20" customFormat="1" x14ac:dyDescent="0.55000000000000004">
      <c r="A39" s="93"/>
      <c r="B39" s="92"/>
      <c r="C39" s="1" t="s">
        <v>62</v>
      </c>
      <c r="D39" s="1" t="s">
        <v>61</v>
      </c>
      <c r="E39" s="46" t="s">
        <v>1</v>
      </c>
      <c r="F39" s="38">
        <f>INDEX(tbl_material[],MATCH(F$10,tbl_material[material],0),MATCH(RP_concrete!$F$8,tbl_material[#Headers],0))</f>
        <v>0.5</v>
      </c>
      <c r="G39" s="4"/>
      <c r="H39" s="4"/>
      <c r="I39" s="38">
        <f>INDEX(tbl_material[],MATCH(I$10,tbl_material[material],0),MATCH(RP_concrete!$I$8,tbl_material[#Headers],0))</f>
        <v>0.8</v>
      </c>
      <c r="J39" s="4"/>
      <c r="K39" s="4"/>
      <c r="L39" s="38" t="e">
        <f>INDEX(tbl_material[],MATCH(L$10,tbl_material[material],0),MATCH(RP_concrete!$I$8,tbl_material[#Headers],0))</f>
        <v>#N/A</v>
      </c>
      <c r="M39" s="4"/>
      <c r="N39" s="4"/>
      <c r="O39" s="38" t="e">
        <f>INDEX(tbl_material[],MATCH(O$10,tbl_material[material],0),MATCH(RP_concrete!$I$8,tbl_material[#Headers],0))</f>
        <v>#N/A</v>
      </c>
      <c r="P39" s="4"/>
      <c r="Q39" s="4"/>
      <c r="R39" s="38" t="e">
        <f>INDEX(tbl_material[],MATCH(R$10,tbl_material[material],0),MATCH(RP_concrete!$I$8,tbl_material[#Headers],0))</f>
        <v>#N/A</v>
      </c>
      <c r="S39" s="4"/>
      <c r="T39" s="4"/>
    </row>
    <row r="40" spans="1:20" customFormat="1" x14ac:dyDescent="0.55000000000000004">
      <c r="A40" s="93"/>
      <c r="B40" s="92"/>
      <c r="C40" s="1" t="s">
        <v>22</v>
      </c>
      <c r="D40" s="1" t="s">
        <v>61</v>
      </c>
      <c r="E40" s="46" t="s">
        <v>1</v>
      </c>
      <c r="F40" s="4">
        <f>1-F37+F37*(1-F38-F39)</f>
        <v>0.5</v>
      </c>
      <c r="G40" s="4"/>
      <c r="H40" s="4"/>
      <c r="I40" s="4">
        <f>1-I37+I37*(1-I38-I39)</f>
        <v>0.19999999999999996</v>
      </c>
      <c r="J40" s="4"/>
      <c r="K40" s="4"/>
      <c r="L40" s="4" t="e">
        <f>1-L37+L37*(1-L38-L39)</f>
        <v>#N/A</v>
      </c>
      <c r="M40" s="4"/>
      <c r="N40" s="4"/>
      <c r="O40" s="4" t="e">
        <f>1-O37+O37*(1-O38-O39)</f>
        <v>#N/A</v>
      </c>
      <c r="P40" s="4"/>
      <c r="Q40" s="4"/>
      <c r="R40" s="4" t="e">
        <f>1-R37+R37*(1-R38-R39)</f>
        <v>#N/A</v>
      </c>
      <c r="S40" s="4"/>
      <c r="T40" s="4"/>
    </row>
    <row r="41" spans="1:20" customFormat="1" x14ac:dyDescent="0.55000000000000004">
      <c r="A41" s="93"/>
      <c r="B41" s="1"/>
      <c r="C41" s="1"/>
      <c r="D41" s="1"/>
      <c r="E41" s="4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customFormat="1" x14ac:dyDescent="0.55000000000000004">
      <c r="A42" s="93"/>
      <c r="B42" s="92"/>
      <c r="C42" s="1" t="s">
        <v>5</v>
      </c>
      <c r="D42" s="1" t="s">
        <v>35</v>
      </c>
      <c r="E42" s="46" t="s">
        <v>1</v>
      </c>
      <c r="F42" s="11">
        <f>(F32*F33*F28+F37*F38)/(1+F28)</f>
        <v>0</v>
      </c>
      <c r="G42" s="11"/>
      <c r="H42" s="11"/>
      <c r="I42" s="11">
        <f>(I32*I33*I28+I37*I38)/(1+I28)</f>
        <v>0</v>
      </c>
      <c r="J42" s="11"/>
      <c r="K42" s="11"/>
      <c r="L42" s="11" t="e">
        <f>(L32*L33*L28+L37*L38)/(1+L28)</f>
        <v>#N/A</v>
      </c>
      <c r="M42" s="11"/>
      <c r="N42" s="11"/>
      <c r="O42" s="11" t="e">
        <f>(O32*O33*O28+O37*O38)/(1+O28)</f>
        <v>#N/A</v>
      </c>
      <c r="P42" s="11"/>
      <c r="Q42" s="11"/>
      <c r="R42" s="11" t="e">
        <f>(R32*R33*R28+R37*R38)/(1+R28)</f>
        <v>#N/A</v>
      </c>
      <c r="S42" s="11"/>
      <c r="T42" s="11"/>
    </row>
    <row r="43" spans="1:20" customFormat="1" x14ac:dyDescent="0.55000000000000004">
      <c r="A43" s="93"/>
      <c r="B43" s="92"/>
      <c r="C43" s="1" t="s">
        <v>4</v>
      </c>
      <c r="D43" s="1" t="s">
        <v>35</v>
      </c>
      <c r="E43" s="46" t="s">
        <v>1</v>
      </c>
      <c r="F43" s="11">
        <f>(F32*F34*F28+F37*F39)/(1+F28)</f>
        <v>0.53636363636363626</v>
      </c>
      <c r="G43" s="11"/>
      <c r="H43" s="11"/>
      <c r="I43" s="11">
        <f>(I32*I34*I28+I37*I39)/(1+I28)</f>
        <v>0.80909090909090908</v>
      </c>
      <c r="J43" s="11"/>
      <c r="K43" s="11"/>
      <c r="L43" s="11" t="e">
        <f>(L32*L34*L28+L37*L39)/(1+L28)</f>
        <v>#N/A</v>
      </c>
      <c r="M43" s="11"/>
      <c r="N43" s="11"/>
      <c r="O43" s="11" t="e">
        <f>(O32*O34*O28+O37*O39)/(1+O28)</f>
        <v>#N/A</v>
      </c>
      <c r="P43" s="11"/>
      <c r="Q43" s="11"/>
      <c r="R43" s="11" t="e">
        <f>(R32*R34*R28+R37*R39)/(1+R28)</f>
        <v>#N/A</v>
      </c>
      <c r="S43" s="11"/>
      <c r="T43" s="11"/>
    </row>
    <row r="44" spans="1:20" customFormat="1" x14ac:dyDescent="0.55000000000000004">
      <c r="A44" s="93"/>
      <c r="B44" s="92"/>
      <c r="C44" s="1" t="s">
        <v>6</v>
      </c>
      <c r="D44" s="1" t="s">
        <v>35</v>
      </c>
      <c r="E44" s="46" t="s">
        <v>1</v>
      </c>
      <c r="F44" s="4">
        <f>1-F42-F43</f>
        <v>0.46363636363636374</v>
      </c>
      <c r="G44" s="4"/>
      <c r="H44" s="4"/>
      <c r="I44" s="4">
        <f>1-I42-I43</f>
        <v>0.19090909090909092</v>
      </c>
      <c r="J44" s="4"/>
      <c r="K44" s="4"/>
      <c r="L44" s="4" t="e">
        <f>1-L42-L43</f>
        <v>#N/A</v>
      </c>
      <c r="M44" s="4"/>
      <c r="N44" s="4"/>
      <c r="O44" s="4" t="e">
        <f>1-O42-O43</f>
        <v>#N/A</v>
      </c>
      <c r="P44" s="4"/>
      <c r="Q44" s="4"/>
      <c r="R44" s="4" t="e">
        <f>1-R42-R43</f>
        <v>#N/A</v>
      </c>
      <c r="S44" s="4"/>
      <c r="T44" s="4"/>
    </row>
    <row r="45" spans="1:20" customFormat="1" ht="14.5" customHeight="1" x14ac:dyDescent="0.55000000000000004">
      <c r="A45" s="93"/>
      <c r="B45" s="1"/>
      <c r="C45" s="1"/>
      <c r="D45" s="1"/>
      <c r="E45" s="4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" customFormat="1" ht="14.5" customHeight="1" x14ac:dyDescent="0.65">
      <c r="A46" s="93"/>
      <c r="B46" s="9" t="s">
        <v>31</v>
      </c>
      <c r="C46" s="3" t="s">
        <v>43</v>
      </c>
      <c r="D46" s="3" t="s">
        <v>38</v>
      </c>
      <c r="E46" s="25" t="s">
        <v>1</v>
      </c>
      <c r="F46" s="6">
        <f>(0.5*F27/F22)*(1+F28)*(1/lifetime_concrete)*(1+F24*(1-F42)-F42-F43)</f>
        <v>2.5957924864401849E-12</v>
      </c>
      <c r="G46" s="5"/>
      <c r="H46" s="5"/>
      <c r="I46" s="6">
        <f>(0.5*I27/I22)*(1+I28)*(1/lifetime_concrete)*(1+I24*(1-I42)-I42-I43)</f>
        <v>2.1121044454885973E-12</v>
      </c>
      <c r="J46" s="5"/>
      <c r="K46" s="5"/>
      <c r="L46" s="6" t="e">
        <f>(0.5*L27/L22)*(1+L28)*(1/lifetime_concrete)*(1+L24*(1-L42)-L42-L43)</f>
        <v>#N/A</v>
      </c>
      <c r="M46" s="5"/>
      <c r="N46" s="5"/>
      <c r="O46" s="6" t="e">
        <f>(0.5*O27/O22)*(1+O28)*(1/lifetime_concrete)*(1+O24*(1-O42)-O42-O43)</f>
        <v>#N/A</v>
      </c>
      <c r="P46" s="5"/>
      <c r="Q46" s="5"/>
      <c r="R46" s="6" t="e">
        <f>(0.5*R27/R22)*(1+R28)*(1/lifetime_concrete)*(1+R24*(1-R42)-R42-R43)</f>
        <v>#N/A</v>
      </c>
      <c r="S46" s="5"/>
      <c r="T46" s="5"/>
    </row>
    <row r="47" spans="1:20" s="3" customFormat="1" ht="14.5" customHeight="1" x14ac:dyDescent="0.65">
      <c r="A47" s="9"/>
      <c r="B47" s="9"/>
      <c r="E47" s="25"/>
      <c r="F47" s="6"/>
      <c r="G47" s="5"/>
      <c r="H47" s="5"/>
      <c r="I47" s="6"/>
      <c r="J47" s="5"/>
      <c r="K47" s="5"/>
      <c r="L47" s="6"/>
      <c r="M47" s="5"/>
      <c r="N47" s="5"/>
      <c r="O47" s="6"/>
      <c r="P47" s="5"/>
      <c r="Q47" s="5"/>
      <c r="R47" s="6"/>
      <c r="S47" s="5"/>
      <c r="T47" s="5"/>
    </row>
    <row r="48" spans="1:20" s="3" customFormat="1" ht="14.5" customHeight="1" x14ac:dyDescent="0.65">
      <c r="A48" s="9"/>
      <c r="B48" s="9"/>
      <c r="E48" s="25"/>
      <c r="F48" s="6"/>
      <c r="G48" s="5"/>
      <c r="H48" s="5"/>
      <c r="I48" s="6"/>
      <c r="J48" s="5"/>
      <c r="K48" s="5"/>
      <c r="L48" s="6"/>
      <c r="M48" s="5"/>
      <c r="N48" s="5"/>
      <c r="O48" s="6"/>
      <c r="P48" s="5"/>
      <c r="Q48" s="5"/>
      <c r="R48" s="6"/>
      <c r="S48" s="5"/>
      <c r="T48" s="5"/>
    </row>
    <row r="49" spans="1:20" s="3" customFormat="1" ht="14.5" customHeight="1" x14ac:dyDescent="0.55000000000000004">
      <c r="A49" s="93" t="s">
        <v>208</v>
      </c>
      <c r="B49" s="46" t="s">
        <v>46</v>
      </c>
      <c r="C49" s="1" t="s">
        <v>44</v>
      </c>
      <c r="D49" s="1" t="s">
        <v>139</v>
      </c>
      <c r="E49" s="46"/>
      <c r="F49" s="13" t="str">
        <f>INDEX(tbl_material[],MATCH(F$11,tbl_material[ERP identifier],0),MATCH(RP_concrete!$D$49,tbl_material[#Headers],0))</f>
        <v>gravel</v>
      </c>
      <c r="G49" s="1"/>
      <c r="H49" s="1"/>
      <c r="I49" s="13" t="str">
        <f>INDEX(tbl_material[],MATCH(I$11,tbl_material[ERP identifier],0),MATCH(RP_concrete!$D$49,tbl_material[#Headers],0))</f>
        <v>gravel</v>
      </c>
      <c r="J49" s="1"/>
      <c r="K49" s="1"/>
      <c r="L49" s="13" t="e">
        <f>INDEX(tbl_material[],MATCH(L$11,tbl_material[ERP identifier],0),MATCH(RP_concrete!$D$49,tbl_material[#Headers],0))</f>
        <v>#N/A</v>
      </c>
      <c r="M49" s="1"/>
      <c r="N49" s="1"/>
      <c r="O49" s="13" t="e">
        <f>INDEX(tbl_material[],MATCH(O$11,tbl_material[ERP identifier],0),MATCH(RP_concrete!$D$49,tbl_material[#Headers],0))</f>
        <v>#N/A</v>
      </c>
      <c r="P49" s="1"/>
      <c r="Q49" s="1"/>
      <c r="R49" s="13" t="e">
        <f>INDEX(tbl_material[],MATCH(R$11,tbl_material[ERP identifier],0),MATCH(RP_concrete!$D$49,tbl_material[#Headers],0))</f>
        <v>#N/A</v>
      </c>
      <c r="S49" s="1"/>
      <c r="T49" s="1"/>
    </row>
    <row r="50" spans="1:20" s="3" customFormat="1" ht="14.5" customHeight="1" x14ac:dyDescent="0.55000000000000004">
      <c r="A50" s="93"/>
      <c r="B50" s="25" t="s">
        <v>10</v>
      </c>
      <c r="C50" s="1" t="s">
        <v>26</v>
      </c>
      <c r="D50" s="1" t="s">
        <v>109</v>
      </c>
      <c r="E50" s="46" t="s">
        <v>3</v>
      </c>
      <c r="F50" s="5">
        <f>INDEX(tbl_ERP[],MATCH(F49,tbl_ERP[Identifier],0),MATCH(RP_concrete!$D$50,tbl_ERP[#Headers],0))</f>
        <v>73712177945653.359</v>
      </c>
      <c r="G50" s="1"/>
      <c r="H50" s="1"/>
      <c r="I50" s="5">
        <f>INDEX(tbl_ERP[],MATCH(I49,tbl_ERP[Identifier],0),MATCH(RP_concrete!$D$50,tbl_ERP[#Headers],0))</f>
        <v>73712177945653.359</v>
      </c>
      <c r="J50" s="1"/>
      <c r="K50" s="1"/>
      <c r="L50" s="5" t="e">
        <f>INDEX(tbl_ERP[],MATCH(L49,tbl_ERP[Identifier],0),MATCH(RP_concrete!$D$50,tbl_ERP[#Headers],0))</f>
        <v>#N/A</v>
      </c>
      <c r="M50" s="1"/>
      <c r="N50" s="1"/>
      <c r="O50" s="5" t="e">
        <f>INDEX(tbl_ERP[],MATCH(O49,tbl_ERP[Identifier],0),MATCH(RP_concrete!$D$50,tbl_ERP[#Headers],0))</f>
        <v>#N/A</v>
      </c>
      <c r="P50" s="1"/>
      <c r="Q50" s="1"/>
      <c r="R50" s="5" t="e">
        <f>INDEX(tbl_ERP[],MATCH(R49,tbl_ERP[Identifier],0),MATCH(RP_concrete!$D$50,tbl_ERP[#Headers],0))</f>
        <v>#N/A</v>
      </c>
      <c r="S50" s="1"/>
      <c r="T50" s="1"/>
    </row>
    <row r="51" spans="1:20" s="3" customFormat="1" ht="14.5" customHeight="1" x14ac:dyDescent="0.55000000000000004">
      <c r="A51" s="93"/>
      <c r="B51" s="1"/>
      <c r="C51" s="1"/>
      <c r="D51" s="1"/>
      <c r="E51" s="46"/>
      <c r="F51" s="2"/>
      <c r="G51" s="1"/>
      <c r="H51" s="1"/>
      <c r="I51" s="2"/>
      <c r="J51" s="1"/>
      <c r="K51" s="1"/>
      <c r="L51" s="2"/>
      <c r="M51" s="1"/>
      <c r="N51" s="1"/>
      <c r="O51" s="2"/>
      <c r="P51" s="1"/>
      <c r="Q51" s="1"/>
      <c r="R51" s="2"/>
      <c r="S51" s="1"/>
      <c r="T51" s="1"/>
    </row>
    <row r="52" spans="1:20" s="3" customFormat="1" ht="14.5" customHeight="1" x14ac:dyDescent="0.55000000000000004">
      <c r="A52" s="93"/>
      <c r="B52" s="92"/>
      <c r="C52" s="1" t="s">
        <v>7</v>
      </c>
      <c r="D52" s="1" t="s">
        <v>34</v>
      </c>
      <c r="E52" s="46" t="s">
        <v>1</v>
      </c>
      <c r="F52" s="38">
        <f>INDEX(tbl_material[],MATCH(F$11,tbl_material[material],0),MATCH(RP_concrete!$F$5,tbl_material[#Headers],0))</f>
        <v>1</v>
      </c>
      <c r="G52" s="1"/>
      <c r="H52" s="1"/>
      <c r="I52" s="38">
        <f>INDEX(tbl_material[],MATCH(I$11,tbl_material[material],0),MATCH(RP_concrete!$I$5,tbl_material[#Headers],0))</f>
        <v>0.5</v>
      </c>
      <c r="J52" s="1"/>
      <c r="K52" s="1"/>
      <c r="L52" s="38" t="e">
        <f>INDEX(tbl_material[],MATCH(L$11,tbl_material[material],0),MATCH(RP_concrete!$I$5,tbl_material[#Headers],0))</f>
        <v>#N/A</v>
      </c>
      <c r="M52" s="1"/>
      <c r="N52" s="1"/>
      <c r="O52" s="38" t="e">
        <f>INDEX(tbl_material[],MATCH(O$11,tbl_material[material],0),MATCH(RP_concrete!$I$5,tbl_material[#Headers],0))</f>
        <v>#N/A</v>
      </c>
      <c r="P52" s="1"/>
      <c r="Q52" s="1"/>
      <c r="R52" s="38" t="e">
        <f>INDEX(tbl_material[],MATCH(R$11,tbl_material[material],0),MATCH(RP_concrete!$I$5,tbl_material[#Headers],0))</f>
        <v>#N/A</v>
      </c>
      <c r="S52" s="1"/>
      <c r="T52" s="1"/>
    </row>
    <row r="53" spans="1:20" s="3" customFormat="1" ht="14.5" customHeight="1" x14ac:dyDescent="0.55000000000000004">
      <c r="A53" s="93"/>
      <c r="B53" s="92"/>
      <c r="C53" s="1" t="s">
        <v>33</v>
      </c>
      <c r="D53" s="1" t="s">
        <v>34</v>
      </c>
      <c r="E53" s="46" t="s">
        <v>1</v>
      </c>
      <c r="F53" s="4">
        <f>1-F52</f>
        <v>0</v>
      </c>
      <c r="G53" s="1"/>
      <c r="H53" s="1"/>
      <c r="I53" s="4">
        <f>1-I52</f>
        <v>0.5</v>
      </c>
      <c r="J53" s="1"/>
      <c r="K53" s="1"/>
      <c r="L53" s="4" t="e">
        <f>1-L52</f>
        <v>#N/A</v>
      </c>
      <c r="M53" s="1"/>
      <c r="N53" s="1"/>
      <c r="O53" s="4" t="e">
        <f>1-O52</f>
        <v>#N/A</v>
      </c>
      <c r="P53" s="1"/>
      <c r="Q53" s="1"/>
      <c r="R53" s="4" t="e">
        <f>1-R52</f>
        <v>#N/A</v>
      </c>
      <c r="S53" s="1"/>
      <c r="T53" s="1"/>
    </row>
    <row r="54" spans="1:20" s="3" customFormat="1" ht="14.5" customHeight="1" x14ac:dyDescent="0.55000000000000004">
      <c r="A54" s="93"/>
      <c r="B54" s="1"/>
      <c r="C54" s="1"/>
      <c r="D54" s="1"/>
      <c r="E54" s="46"/>
      <c r="F54" s="10"/>
      <c r="G54" s="1"/>
      <c r="H54" s="1"/>
      <c r="I54" s="10"/>
      <c r="J54" s="1"/>
      <c r="K54" s="1"/>
      <c r="L54" s="10"/>
      <c r="M54" s="1"/>
      <c r="N54" s="1"/>
      <c r="O54" s="10"/>
      <c r="P54" s="1"/>
      <c r="Q54" s="1"/>
      <c r="R54" s="10"/>
      <c r="S54" s="1"/>
      <c r="T54" s="1"/>
    </row>
    <row r="55" spans="1:20" s="3" customFormat="1" ht="14.5" customHeight="1" x14ac:dyDescent="0.55000000000000004">
      <c r="A55" s="93"/>
      <c r="B55" s="92"/>
      <c r="C55" s="1" t="s">
        <v>57</v>
      </c>
      <c r="D55" s="1" t="s">
        <v>202</v>
      </c>
      <c r="E55" s="46" t="s">
        <v>2</v>
      </c>
      <c r="F55" s="38">
        <f>INDEX(tbl_material[],MATCH(F$11,tbl_material[material],0),MATCH(RP_concrete!$C$55,tbl_material[#Headers],0))</f>
        <v>100</v>
      </c>
      <c r="G55" s="15"/>
      <c r="H55" s="15"/>
      <c r="I55" s="38">
        <f>INDEX(tbl_material[],MATCH(I$11,tbl_material[material],0),MATCH(RP_concrete!$C$55,tbl_material[#Headers],0))</f>
        <v>100</v>
      </c>
      <c r="J55" s="15"/>
      <c r="K55" s="15"/>
      <c r="L55" s="38" t="e">
        <f>INDEX(tbl_material[],MATCH(L$11,tbl_material[material],0),MATCH(RP_concrete!$C$55,tbl_material[#Headers],0))</f>
        <v>#N/A</v>
      </c>
      <c r="M55" s="15"/>
      <c r="N55" s="15"/>
      <c r="O55" s="38" t="e">
        <f>INDEX(tbl_material[],MATCH(O$11,tbl_material[material],0),MATCH(RP_concrete!$C$55,tbl_material[#Headers],0))</f>
        <v>#N/A</v>
      </c>
      <c r="P55" s="15"/>
      <c r="Q55" s="15"/>
      <c r="R55" s="38" t="e">
        <f>INDEX(tbl_material[],MATCH(R$11,tbl_material[material],0),MATCH(RP_concrete!$C$55,tbl_material[#Headers],0))</f>
        <v>#N/A</v>
      </c>
      <c r="S55" s="15"/>
      <c r="T55" s="15"/>
    </row>
    <row r="56" spans="1:20" s="3" customFormat="1" ht="14.5" customHeight="1" x14ac:dyDescent="0.55000000000000004">
      <c r="A56" s="93"/>
      <c r="B56" s="92"/>
      <c r="C56" s="1" t="s">
        <v>58</v>
      </c>
      <c r="D56" s="1" t="s">
        <v>24</v>
      </c>
      <c r="E56" s="46" t="s">
        <v>1</v>
      </c>
      <c r="F56" s="38">
        <f>INDEX(tbl_material[],MATCH(F$11,tbl_material[material],0),MATCH(RP_concrete!$C$56,tbl_material[#Headers],0))</f>
        <v>0.1</v>
      </c>
      <c r="G56" s="1"/>
      <c r="H56" s="1"/>
      <c r="I56" s="38">
        <f>INDEX(tbl_material[],MATCH(I$11,tbl_material[material],0),MATCH(RP_concrete!$C$56,tbl_material[#Headers],0))</f>
        <v>0.1</v>
      </c>
      <c r="J56" s="1"/>
      <c r="K56" s="1"/>
      <c r="L56" s="38" t="e">
        <f>INDEX(tbl_material[],MATCH(L$11,tbl_material[material],0),MATCH(RP_concrete!$C$56,tbl_material[#Headers],0))</f>
        <v>#N/A</v>
      </c>
      <c r="M56" s="1"/>
      <c r="N56" s="1"/>
      <c r="O56" s="38" t="e">
        <f>INDEX(tbl_material[],MATCH(O$11,tbl_material[material],0),MATCH(RP_concrete!$C$56,tbl_material[#Headers],0))</f>
        <v>#N/A</v>
      </c>
      <c r="P56" s="1"/>
      <c r="Q56" s="1"/>
      <c r="R56" s="38" t="e">
        <f>INDEX(tbl_material[],MATCH(R$11,tbl_material[material],0),MATCH(RP_concrete!$C$56,tbl_material[#Headers],0))</f>
        <v>#N/A</v>
      </c>
      <c r="S56" s="1"/>
      <c r="T56" s="1"/>
    </row>
    <row r="57" spans="1:20" s="3" customFormat="1" ht="14.5" customHeight="1" x14ac:dyDescent="0.55000000000000004">
      <c r="A57" s="93"/>
      <c r="B57" s="92"/>
      <c r="C57" s="1" t="s">
        <v>58</v>
      </c>
      <c r="D57" s="1" t="s">
        <v>25</v>
      </c>
      <c r="E57" s="46" t="s">
        <v>2</v>
      </c>
      <c r="F57" s="15">
        <f>F55*F56</f>
        <v>10</v>
      </c>
      <c r="G57" s="1"/>
      <c r="H57" s="1"/>
      <c r="I57" s="15">
        <f>I55*I56</f>
        <v>10</v>
      </c>
      <c r="J57" s="1"/>
      <c r="K57" s="1"/>
      <c r="L57" s="15" t="e">
        <f>L55*L56</f>
        <v>#N/A</v>
      </c>
      <c r="M57" s="1"/>
      <c r="N57" s="1"/>
      <c r="O57" s="15" t="e">
        <f>O55*O56</f>
        <v>#N/A</v>
      </c>
      <c r="P57" s="1"/>
      <c r="Q57" s="1"/>
      <c r="R57" s="15" t="e">
        <f>R55*R56</f>
        <v>#N/A</v>
      </c>
      <c r="S57" s="1"/>
      <c r="T57" s="1"/>
    </row>
    <row r="58" spans="1:20" s="3" customFormat="1" ht="14.5" customHeight="1" x14ac:dyDescent="0.55000000000000004">
      <c r="A58" s="93"/>
      <c r="B58" s="92"/>
      <c r="C58" s="1" t="s">
        <v>23</v>
      </c>
      <c r="D58" s="1" t="s">
        <v>25</v>
      </c>
      <c r="E58" s="46" t="s">
        <v>2</v>
      </c>
      <c r="F58" s="15">
        <f>F55*(1+F56)</f>
        <v>110.00000000000001</v>
      </c>
      <c r="G58" s="1"/>
      <c r="H58" s="1"/>
      <c r="I58" s="15">
        <f>I55*(1+I56)</f>
        <v>110.00000000000001</v>
      </c>
      <c r="J58" s="1"/>
      <c r="K58" s="1"/>
      <c r="L58" s="15" t="e">
        <f>L55*(1+L56)</f>
        <v>#N/A</v>
      </c>
      <c r="M58" s="1"/>
      <c r="N58" s="1"/>
      <c r="O58" s="15" t="e">
        <f>O55*(1+O56)</f>
        <v>#N/A</v>
      </c>
      <c r="P58" s="1"/>
      <c r="Q58" s="1"/>
      <c r="R58" s="15" t="e">
        <f>R55*(1+R56)</f>
        <v>#N/A</v>
      </c>
      <c r="S58" s="1"/>
      <c r="T58" s="1"/>
    </row>
    <row r="59" spans="1:20" s="3" customFormat="1" ht="14.5" customHeight="1" x14ac:dyDescent="0.55000000000000004">
      <c r="A59" s="93"/>
      <c r="B59" s="1"/>
      <c r="C59" s="1"/>
      <c r="D59" s="1"/>
      <c r="E59" s="46"/>
      <c r="F59" s="4"/>
      <c r="G59" s="1"/>
      <c r="H59" s="1"/>
      <c r="I59" s="4"/>
      <c r="J59" s="1"/>
      <c r="K59" s="1"/>
      <c r="L59" s="4"/>
      <c r="M59" s="1"/>
      <c r="N59" s="1"/>
      <c r="O59" s="4"/>
      <c r="P59" s="1"/>
      <c r="Q59" s="1"/>
      <c r="R59" s="4"/>
      <c r="S59" s="1"/>
      <c r="T59" s="1"/>
    </row>
    <row r="60" spans="1:20" s="3" customFormat="1" ht="14.5" customHeight="1" x14ac:dyDescent="0.55000000000000004">
      <c r="A60" s="93"/>
      <c r="B60" s="92"/>
      <c r="C60" s="1" t="s">
        <v>8</v>
      </c>
      <c r="D60" s="1" t="s">
        <v>59</v>
      </c>
      <c r="E60" s="46" t="s">
        <v>1</v>
      </c>
      <c r="F60" s="38">
        <f>INDEX(tbl_material[],MATCH(F$11,tbl_material[material],0),MATCH(RP_concrete!$C$60,tbl_material[#Headers],0))</f>
        <v>1</v>
      </c>
      <c r="G60" s="1"/>
      <c r="H60" s="1"/>
      <c r="I60" s="38">
        <f>INDEX(tbl_material[],MATCH(I$11,tbl_material[material],0),MATCH(RP_concrete!$C$60,tbl_material[#Headers],0))</f>
        <v>1</v>
      </c>
      <c r="J60" s="1"/>
      <c r="K60" s="1"/>
      <c r="L60" s="38" t="e">
        <f>INDEX(tbl_material[],MATCH(L$11,tbl_material[material],0),MATCH(RP_concrete!$C$60,tbl_material[#Headers],0))</f>
        <v>#N/A</v>
      </c>
      <c r="M60" s="1"/>
      <c r="N60" s="1"/>
      <c r="O60" s="38" t="e">
        <f>INDEX(tbl_material[],MATCH(O$11,tbl_material[material],0),MATCH(RP_concrete!$C$60,tbl_material[#Headers],0))</f>
        <v>#N/A</v>
      </c>
      <c r="P60" s="1"/>
      <c r="Q60" s="1"/>
      <c r="R60" s="38" t="e">
        <f>INDEX(tbl_material[],MATCH(R$11,tbl_material[material],0),MATCH(RP_concrete!$C$60,tbl_material[#Headers],0))</f>
        <v>#N/A</v>
      </c>
      <c r="S60" s="1"/>
      <c r="T60" s="1"/>
    </row>
    <row r="61" spans="1:20" s="3" customFormat="1" ht="14.5" customHeight="1" x14ac:dyDescent="0.55000000000000004">
      <c r="A61" s="93"/>
      <c r="B61" s="92"/>
      <c r="C61" s="1" t="s">
        <v>9</v>
      </c>
      <c r="D61" s="1" t="s">
        <v>60</v>
      </c>
      <c r="E61" s="46" t="s">
        <v>1</v>
      </c>
      <c r="F61" s="38">
        <f>INDEX(tbl_material[],MATCH(F$11,tbl_material[material],0),MATCH(RP_concrete!$C$61,tbl_material[#Headers],0))</f>
        <v>0.9</v>
      </c>
      <c r="G61" s="1"/>
      <c r="H61" s="1"/>
      <c r="I61" s="38">
        <f>INDEX(tbl_material[],MATCH(I$11,tbl_material[material],0),MATCH(RP_concrete!$C$61,tbl_material[#Headers],0))</f>
        <v>0.9</v>
      </c>
      <c r="J61" s="1"/>
      <c r="K61" s="1"/>
      <c r="L61" s="38" t="e">
        <f>INDEX(tbl_material[],MATCH(L$11,tbl_material[material],0),MATCH(RP_concrete!$C$61,tbl_material[#Headers],0))</f>
        <v>#N/A</v>
      </c>
      <c r="M61" s="1"/>
      <c r="N61" s="1"/>
      <c r="O61" s="38" t="e">
        <f>INDEX(tbl_material[],MATCH(O$11,tbl_material[material],0),MATCH(RP_concrete!$C$61,tbl_material[#Headers],0))</f>
        <v>#N/A</v>
      </c>
      <c r="P61" s="1"/>
      <c r="Q61" s="1"/>
      <c r="R61" s="38" t="e">
        <f>INDEX(tbl_material[],MATCH(R$11,tbl_material[material],0),MATCH(RP_concrete!$C$61,tbl_material[#Headers],0))</f>
        <v>#N/A</v>
      </c>
      <c r="S61" s="1"/>
      <c r="T61" s="1"/>
    </row>
    <row r="62" spans="1:20" s="3" customFormat="1" ht="14.5" customHeight="1" x14ac:dyDescent="0.55000000000000004">
      <c r="A62" s="93"/>
      <c r="B62" s="92"/>
      <c r="C62" s="1" t="s">
        <v>62</v>
      </c>
      <c r="D62" s="1" t="s">
        <v>60</v>
      </c>
      <c r="E62" s="46" t="s">
        <v>1</v>
      </c>
      <c r="F62" s="38">
        <f>INDEX(tbl_material[],MATCH(F$11,tbl_material[material],0),MATCH(RP_concrete!$C$62,tbl_material[#Headers],0))</f>
        <v>0</v>
      </c>
      <c r="G62" s="1"/>
      <c r="H62" s="1"/>
      <c r="I62" s="38">
        <f>INDEX(tbl_material[],MATCH(I$11,tbl_material[material],0),MATCH(RP_concrete!$C$62,tbl_material[#Headers],0))</f>
        <v>0</v>
      </c>
      <c r="J62" s="1"/>
      <c r="K62" s="1"/>
      <c r="L62" s="38" t="e">
        <f>INDEX(tbl_material[],MATCH(L$11,tbl_material[material],0),MATCH(RP_concrete!$C$62,tbl_material[#Headers],0))</f>
        <v>#N/A</v>
      </c>
      <c r="M62" s="1"/>
      <c r="N62" s="1"/>
      <c r="O62" s="38" t="e">
        <f>INDEX(tbl_material[],MATCH(O$11,tbl_material[material],0),MATCH(RP_concrete!$C$62,tbl_material[#Headers],0))</f>
        <v>#N/A</v>
      </c>
      <c r="P62" s="1"/>
      <c r="Q62" s="1"/>
      <c r="R62" s="38" t="e">
        <f>INDEX(tbl_material[],MATCH(R$11,tbl_material[material],0),MATCH(RP_concrete!$C$62,tbl_material[#Headers],0))</f>
        <v>#N/A</v>
      </c>
      <c r="S62" s="1"/>
      <c r="T62" s="1"/>
    </row>
    <row r="63" spans="1:20" s="3" customFormat="1" ht="14.5" customHeight="1" x14ac:dyDescent="0.55000000000000004">
      <c r="A63" s="93"/>
      <c r="B63" s="92"/>
      <c r="C63" s="1" t="s">
        <v>22</v>
      </c>
      <c r="D63" s="1" t="s">
        <v>60</v>
      </c>
      <c r="E63" s="46" t="s">
        <v>1</v>
      </c>
      <c r="F63" s="4">
        <f>1-F60+F60*(1-F61-F62)</f>
        <v>9.9999999999999978E-2</v>
      </c>
      <c r="G63" s="4"/>
      <c r="H63" s="4"/>
      <c r="I63" s="4">
        <f>1-I60+I60*(1-I61-I62)</f>
        <v>9.9999999999999978E-2</v>
      </c>
      <c r="J63" s="4"/>
      <c r="K63" s="4"/>
      <c r="L63" s="4" t="e">
        <f>1-L60+L60*(1-L61-L62)</f>
        <v>#N/A</v>
      </c>
      <c r="M63" s="4"/>
      <c r="N63" s="4"/>
      <c r="O63" s="4" t="e">
        <f>1-O60+O60*(1-O61-O62)</f>
        <v>#N/A</v>
      </c>
      <c r="P63" s="4"/>
      <c r="Q63" s="4"/>
      <c r="R63" s="4" t="e">
        <f>1-R60+R60*(1-R61-R62)</f>
        <v>#N/A</v>
      </c>
      <c r="S63" s="4"/>
      <c r="T63" s="4"/>
    </row>
    <row r="64" spans="1:20" s="3" customFormat="1" ht="14.5" customHeight="1" x14ac:dyDescent="0.55000000000000004">
      <c r="A64" s="93"/>
      <c r="B64" s="1"/>
      <c r="C64" s="1"/>
      <c r="D64" s="1"/>
      <c r="E64" s="46"/>
      <c r="F64" s="4"/>
      <c r="G64" s="1"/>
      <c r="H64" s="1"/>
      <c r="I64" s="4"/>
      <c r="J64" s="1"/>
      <c r="K64" s="1"/>
      <c r="L64" s="4"/>
      <c r="M64" s="1"/>
      <c r="N64" s="1"/>
      <c r="O64" s="4"/>
      <c r="P64" s="1"/>
      <c r="Q64" s="1"/>
      <c r="R64" s="4"/>
      <c r="S64" s="1"/>
      <c r="T64" s="1"/>
    </row>
    <row r="65" spans="1:20" s="3" customFormat="1" ht="14.5" customHeight="1" x14ac:dyDescent="0.55000000000000004">
      <c r="A65" s="93"/>
      <c r="B65" s="92"/>
      <c r="C65" s="1" t="s">
        <v>8</v>
      </c>
      <c r="D65" s="1" t="s">
        <v>20</v>
      </c>
      <c r="E65" s="46" t="s">
        <v>1</v>
      </c>
      <c r="F65" s="38">
        <f>INDEX(tbl_material[],MATCH(F$11,tbl_material[material],0),MATCH(RP_concrete!$F$6,tbl_material[#Headers],0))</f>
        <v>1</v>
      </c>
      <c r="G65" s="24"/>
      <c r="H65" s="24"/>
      <c r="I65" s="38">
        <f>INDEX(tbl_material[],MATCH(I$11,tbl_material[material],0),MATCH(RP_concrete!$I$6,tbl_material[#Headers],0))</f>
        <v>1</v>
      </c>
      <c r="J65" s="24"/>
      <c r="K65" s="24"/>
      <c r="L65" s="38" t="e">
        <f>INDEX(tbl_material[],MATCH(L$11,tbl_material[material],0),MATCH(RP_concrete!$I$6,tbl_material[#Headers],0))</f>
        <v>#N/A</v>
      </c>
      <c r="M65" s="24"/>
      <c r="N65" s="24"/>
      <c r="O65" s="38" t="e">
        <f>INDEX(tbl_material[],MATCH(O$11,tbl_material[material],0),MATCH(RP_concrete!$I$6,tbl_material[#Headers],0))</f>
        <v>#N/A</v>
      </c>
      <c r="P65" s="24"/>
      <c r="Q65" s="24"/>
      <c r="R65" s="38" t="e">
        <f>INDEX(tbl_material[],MATCH(R$11,tbl_material[material],0),MATCH(RP_concrete!$I$6,tbl_material[#Headers],0))</f>
        <v>#N/A</v>
      </c>
      <c r="S65" s="24"/>
      <c r="T65" s="24"/>
    </row>
    <row r="66" spans="1:20" s="3" customFormat="1" ht="14.5" customHeight="1" x14ac:dyDescent="0.55000000000000004">
      <c r="A66" s="93"/>
      <c r="B66" s="92"/>
      <c r="C66" s="1" t="s">
        <v>9</v>
      </c>
      <c r="D66" s="1" t="s">
        <v>61</v>
      </c>
      <c r="E66" s="46" t="s">
        <v>1</v>
      </c>
      <c r="F66" s="38">
        <f>INDEX(tbl_material[],MATCH(F$11,tbl_material[material],0),MATCH(RP_concrete!$F$7,tbl_material[#Headers],0))</f>
        <v>0.5</v>
      </c>
      <c r="G66" s="4"/>
      <c r="H66" s="4"/>
      <c r="I66" s="38">
        <f>INDEX(tbl_material[],MATCH(I$11,tbl_material[material],0),MATCH(RP_concrete!$I$7,tbl_material[#Headers],0))</f>
        <v>0.8</v>
      </c>
      <c r="J66" s="4"/>
      <c r="K66" s="4"/>
      <c r="L66" s="38" t="e">
        <f>INDEX(tbl_material[],MATCH(L$11,tbl_material[material],0),MATCH(RP_concrete!$I$7,tbl_material[#Headers],0))</f>
        <v>#N/A</v>
      </c>
      <c r="M66" s="4"/>
      <c r="N66" s="4"/>
      <c r="O66" s="38" t="e">
        <f>INDEX(tbl_material[],MATCH(O$11,tbl_material[material],0),MATCH(RP_concrete!$I$7,tbl_material[#Headers],0))</f>
        <v>#N/A</v>
      </c>
      <c r="P66" s="4"/>
      <c r="Q66" s="4"/>
      <c r="R66" s="38" t="e">
        <f>INDEX(tbl_material[],MATCH(R$11,tbl_material[material],0),MATCH(RP_concrete!$I$7,tbl_material[#Headers],0))</f>
        <v>#N/A</v>
      </c>
      <c r="S66" s="4"/>
      <c r="T66" s="4"/>
    </row>
    <row r="67" spans="1:20" s="3" customFormat="1" ht="14.5" customHeight="1" x14ac:dyDescent="0.55000000000000004">
      <c r="A67" s="93"/>
      <c r="B67" s="92"/>
      <c r="C67" s="1" t="s">
        <v>62</v>
      </c>
      <c r="D67" s="1" t="s">
        <v>61</v>
      </c>
      <c r="E67" s="46" t="s">
        <v>1</v>
      </c>
      <c r="F67" s="38">
        <f>INDEX(tbl_material[],MATCH(F$11,tbl_material[material],0),MATCH(RP_concrete!$F$8,tbl_material[#Headers],0))</f>
        <v>0.1</v>
      </c>
      <c r="G67" s="4"/>
      <c r="H67" s="4"/>
      <c r="I67" s="38">
        <f>INDEX(tbl_material[],MATCH(I$11,tbl_material[material],0),MATCH(RP_concrete!$I$8,tbl_material[#Headers],0))</f>
        <v>0.15</v>
      </c>
      <c r="J67" s="4"/>
      <c r="K67" s="4"/>
      <c r="L67" s="38" t="e">
        <f>INDEX(tbl_material[],MATCH(L$11,tbl_material[material],0),MATCH(RP_concrete!$I$8,tbl_material[#Headers],0))</f>
        <v>#N/A</v>
      </c>
      <c r="M67" s="4"/>
      <c r="N67" s="4"/>
      <c r="O67" s="38" t="e">
        <f>INDEX(tbl_material[],MATCH(O$11,tbl_material[material],0),MATCH(RP_concrete!$I$8,tbl_material[#Headers],0))</f>
        <v>#N/A</v>
      </c>
      <c r="P67" s="4"/>
      <c r="Q67" s="4"/>
      <c r="R67" s="38" t="e">
        <f>INDEX(tbl_material[],MATCH(R$11,tbl_material[material],0),MATCH(RP_concrete!$I$8,tbl_material[#Headers],0))</f>
        <v>#N/A</v>
      </c>
      <c r="S67" s="4"/>
      <c r="T67" s="4"/>
    </row>
    <row r="68" spans="1:20" s="3" customFormat="1" ht="14.5" customHeight="1" x14ac:dyDescent="0.55000000000000004">
      <c r="A68" s="93"/>
      <c r="B68" s="92"/>
      <c r="C68" s="1" t="s">
        <v>22</v>
      </c>
      <c r="D68" s="1" t="s">
        <v>61</v>
      </c>
      <c r="E68" s="46" t="s">
        <v>1</v>
      </c>
      <c r="F68" s="4">
        <f>1-F65+F65*(1-F66-F67)</f>
        <v>0.4</v>
      </c>
      <c r="G68" s="4"/>
      <c r="H68" s="4"/>
      <c r="I68" s="4">
        <f>1-I65+I65*(1-I66-I67)</f>
        <v>4.9999999999999961E-2</v>
      </c>
      <c r="J68" s="4"/>
      <c r="K68" s="4"/>
      <c r="L68" s="4" t="e">
        <f>1-L65+L65*(1-L66-L67)</f>
        <v>#N/A</v>
      </c>
      <c r="M68" s="4"/>
      <c r="N68" s="4"/>
      <c r="O68" s="4" t="e">
        <f>1-O65+O65*(1-O66-O67)</f>
        <v>#N/A</v>
      </c>
      <c r="P68" s="4"/>
      <c r="Q68" s="4"/>
      <c r="R68" s="4" t="e">
        <f>1-R65+R65*(1-R66-R67)</f>
        <v>#N/A</v>
      </c>
      <c r="S68" s="4"/>
      <c r="T68" s="4"/>
    </row>
    <row r="69" spans="1:20" s="3" customFormat="1" ht="14.5" customHeight="1" x14ac:dyDescent="0.55000000000000004">
      <c r="A69" s="93"/>
      <c r="B69" s="1"/>
      <c r="C69" s="1"/>
      <c r="D69" s="1"/>
      <c r="E69" s="4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s="3" customFormat="1" ht="14.5" customHeight="1" x14ac:dyDescent="0.55000000000000004">
      <c r="A70" s="93"/>
      <c r="B70" s="92"/>
      <c r="C70" s="1" t="s">
        <v>5</v>
      </c>
      <c r="D70" s="1" t="s">
        <v>35</v>
      </c>
      <c r="E70" s="46" t="s">
        <v>1</v>
      </c>
      <c r="F70" s="11">
        <f>(F60*F61*F56+F65*F66)/(1+F56)</f>
        <v>0.53636363636363626</v>
      </c>
      <c r="G70" s="11"/>
      <c r="H70" s="11"/>
      <c r="I70" s="11">
        <f>(I60*I61*I56+I65*I66)/(1+I56)</f>
        <v>0.80909090909090908</v>
      </c>
      <c r="J70" s="11"/>
      <c r="K70" s="11"/>
      <c r="L70" s="11" t="e">
        <f>(L60*L61*L56+L65*L66)/(1+L56)</f>
        <v>#N/A</v>
      </c>
      <c r="M70" s="11"/>
      <c r="N70" s="11"/>
      <c r="O70" s="11" t="e">
        <f>(O60*O61*O56+O65*O66)/(1+O56)</f>
        <v>#N/A</v>
      </c>
      <c r="P70" s="11"/>
      <c r="Q70" s="11"/>
      <c r="R70" s="11" t="e">
        <f>(R60*R61*R56+R65*R66)/(1+R56)</f>
        <v>#N/A</v>
      </c>
      <c r="S70" s="11"/>
      <c r="T70" s="11"/>
    </row>
    <row r="71" spans="1:20" s="3" customFormat="1" ht="14.5" customHeight="1" x14ac:dyDescent="0.55000000000000004">
      <c r="A71" s="93"/>
      <c r="B71" s="92"/>
      <c r="C71" s="1" t="s">
        <v>4</v>
      </c>
      <c r="D71" s="1" t="s">
        <v>35</v>
      </c>
      <c r="E71" s="46" t="s">
        <v>1</v>
      </c>
      <c r="F71" s="11">
        <f>(F60*F62*F56+F65*F67)/(1+F56)</f>
        <v>9.0909090909090912E-2</v>
      </c>
      <c r="G71" s="11"/>
      <c r="H71" s="11"/>
      <c r="I71" s="11">
        <f>(I60*I62*I56+I65*I67)/(1+I56)</f>
        <v>0.13636363636363635</v>
      </c>
      <c r="J71" s="11"/>
      <c r="K71" s="11"/>
      <c r="L71" s="11" t="e">
        <f>(L60*L62*L56+L65*L67)/(1+L56)</f>
        <v>#N/A</v>
      </c>
      <c r="M71" s="11"/>
      <c r="N71" s="11"/>
      <c r="O71" s="11" t="e">
        <f>(O60*O62*O56+O65*O67)/(1+O56)</f>
        <v>#N/A</v>
      </c>
      <c r="P71" s="11"/>
      <c r="Q71" s="11"/>
      <c r="R71" s="11" t="e">
        <f>(R60*R62*R56+R65*R67)/(1+R56)</f>
        <v>#N/A</v>
      </c>
      <c r="S71" s="11"/>
      <c r="T71" s="11"/>
    </row>
    <row r="72" spans="1:20" s="3" customFormat="1" ht="14.5" customHeight="1" x14ac:dyDescent="0.55000000000000004">
      <c r="A72" s="93"/>
      <c r="B72" s="92"/>
      <c r="C72" s="1" t="s">
        <v>6</v>
      </c>
      <c r="D72" s="1" t="s">
        <v>35</v>
      </c>
      <c r="E72" s="46" t="s">
        <v>1</v>
      </c>
      <c r="F72" s="4">
        <f>1-F70-F71</f>
        <v>0.3727272727272728</v>
      </c>
      <c r="G72" s="4"/>
      <c r="H72" s="4"/>
      <c r="I72" s="4">
        <f>1-I70-I71</f>
        <v>5.4545454545454564E-2</v>
      </c>
      <c r="J72" s="4"/>
      <c r="K72" s="4"/>
      <c r="L72" s="4" t="e">
        <f>1-L70-L71</f>
        <v>#N/A</v>
      </c>
      <c r="M72" s="4"/>
      <c r="N72" s="4"/>
      <c r="O72" s="4" t="e">
        <f>1-O70-O71</f>
        <v>#N/A</v>
      </c>
      <c r="P72" s="4"/>
      <c r="Q72" s="4"/>
      <c r="R72" s="4" t="e">
        <f>1-R70-R71</f>
        <v>#N/A</v>
      </c>
      <c r="S72" s="4"/>
      <c r="T72" s="4"/>
    </row>
    <row r="73" spans="1:20" s="3" customFormat="1" ht="14.5" customHeight="1" x14ac:dyDescent="0.55000000000000004">
      <c r="A73" s="93"/>
      <c r="B73" s="1"/>
      <c r="C73" s="1"/>
      <c r="D73" s="1"/>
      <c r="E73" s="4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s="3" customFormat="1" ht="14.5" customHeight="1" x14ac:dyDescent="0.65">
      <c r="A74" s="93"/>
      <c r="B74" s="9" t="s">
        <v>31</v>
      </c>
      <c r="C74" s="3" t="s">
        <v>43</v>
      </c>
      <c r="D74" s="3" t="s">
        <v>38</v>
      </c>
      <c r="E74" s="25" t="s">
        <v>1</v>
      </c>
      <c r="F74" s="6">
        <f>(0.5*F55/F50)*(1+F56)*(1/lifetime_concrete)*(1+F52*(1-F70)-F70-F71)</f>
        <v>1.5601221291383827E-14</v>
      </c>
      <c r="G74" s="5"/>
      <c r="H74" s="5"/>
      <c r="I74" s="6">
        <f>(0.5*I55/I50)*(1+I56)*(1/lifetime_concrete)*(1+I52*(1-I70)-I70-I71)</f>
        <v>2.7980451229112291E-15</v>
      </c>
      <c r="J74" s="5"/>
      <c r="K74" s="5"/>
      <c r="L74" s="6" t="e">
        <f>(0.5*L55/L50)*(1+L56)*(1/lifetime_concrete)*(1+L52*(1-L70)-L70-L71)</f>
        <v>#N/A</v>
      </c>
      <c r="M74" s="5"/>
      <c r="N74" s="5"/>
      <c r="O74" s="6" t="e">
        <f>(0.5*O55/O50)*(1+O56)*(1/lifetime_concrete)*(1+O52*(1-O70)-O70-O71)</f>
        <v>#N/A</v>
      </c>
      <c r="P74" s="5"/>
      <c r="Q74" s="5"/>
      <c r="R74" s="6" t="e">
        <f>(0.5*R55/R50)*(1+R56)*(1/lifetime_concrete)*(1+R52*(1-R70)-R70-R71)</f>
        <v>#N/A</v>
      </c>
      <c r="S74" s="5"/>
      <c r="T74" s="5"/>
    </row>
    <row r="75" spans="1:20" s="3" customFormat="1" ht="14.5" customHeight="1" x14ac:dyDescent="0.65">
      <c r="A75" s="9"/>
      <c r="B75" s="9"/>
      <c r="E75" s="25"/>
      <c r="F75" s="6"/>
      <c r="G75" s="5"/>
      <c r="H75" s="5"/>
      <c r="I75" s="6"/>
      <c r="J75" s="5"/>
      <c r="K75" s="5"/>
      <c r="L75" s="6"/>
      <c r="M75" s="5"/>
      <c r="N75" s="5"/>
      <c r="O75" s="6"/>
      <c r="P75" s="5"/>
      <c r="Q75" s="5"/>
      <c r="R75" s="6"/>
      <c r="S75" s="5"/>
      <c r="T75" s="5"/>
    </row>
    <row r="76" spans="1:20" s="3" customFormat="1" ht="14.5" customHeight="1" x14ac:dyDescent="0.65">
      <c r="A76" s="9"/>
      <c r="B76" s="9"/>
      <c r="E76" s="25"/>
      <c r="F76" s="6"/>
      <c r="G76" s="5"/>
      <c r="H76" s="5"/>
      <c r="I76" s="6"/>
      <c r="J76" s="5"/>
      <c r="K76" s="5"/>
      <c r="L76" s="6"/>
      <c r="M76" s="5"/>
      <c r="N76" s="5"/>
      <c r="O76" s="6"/>
      <c r="P76" s="5"/>
      <c r="Q76" s="5"/>
      <c r="R76" s="6"/>
      <c r="S76" s="5"/>
      <c r="T76" s="5"/>
    </row>
    <row r="77" spans="1:20" s="3" customFormat="1" ht="14.5" customHeight="1" x14ac:dyDescent="0.55000000000000004">
      <c r="A77" s="95" t="s">
        <v>216</v>
      </c>
      <c r="B77" s="46" t="s">
        <v>46</v>
      </c>
      <c r="C77" s="1" t="s">
        <v>44</v>
      </c>
      <c r="D77" s="1" t="s">
        <v>139</v>
      </c>
      <c r="E77" s="46"/>
      <c r="F77" s="13" t="str">
        <f>INDEX(tbl_material[],MATCH(F$12,tbl_material[ERP identifier],0),MATCH(RP_concrete!$D$21,tbl_material[#Headers],0))</f>
        <v>low-alloyed steel</v>
      </c>
      <c r="G77" s="1"/>
      <c r="H77" s="1"/>
      <c r="I77" s="13" t="str">
        <f>INDEX(tbl_material[],MATCH(I$12,tbl_material[ERP identifier],0),MATCH(RP_concrete!$D$21,tbl_material[#Headers],0))</f>
        <v>low-alloyed steel</v>
      </c>
      <c r="J77" s="1"/>
      <c r="K77" s="1"/>
      <c r="L77" s="13" t="e">
        <f>INDEX(tbl_material[],MATCH(L$12,tbl_material[ERP identifier],0),MATCH(RP_concrete!$D$21,tbl_material[#Headers],0))</f>
        <v>#N/A</v>
      </c>
      <c r="M77" s="1"/>
      <c r="N77" s="1"/>
      <c r="O77" s="13" t="e">
        <f>INDEX(tbl_material[],MATCH(O$12,tbl_material[ERP identifier],0),MATCH(RP_concrete!$D$21,tbl_material[#Headers],0))</f>
        <v>#N/A</v>
      </c>
      <c r="P77" s="1"/>
      <c r="Q77" s="1"/>
      <c r="R77" s="13" t="e">
        <f>INDEX(tbl_material[],MATCH(R$12,tbl_material[ERP identifier],0),MATCH(RP_concrete!$D$21,tbl_material[#Headers],0))</f>
        <v>#N/A</v>
      </c>
      <c r="S77" s="1"/>
      <c r="T77" s="1"/>
    </row>
    <row r="78" spans="1:20" s="3" customFormat="1" ht="14.5" customHeight="1" x14ac:dyDescent="0.55000000000000004">
      <c r="A78" s="95"/>
      <c r="B78" s="25" t="s">
        <v>10</v>
      </c>
      <c r="C78" s="1" t="s">
        <v>26</v>
      </c>
      <c r="D78" s="1" t="s">
        <v>109</v>
      </c>
      <c r="E78" s="46" t="s">
        <v>3</v>
      </c>
      <c r="F78" s="5">
        <f>INDEX(tbl_ERP[],MATCH(F77,tbl_ERP[Identifier],0),MATCH(RP_concrete!$D$22,tbl_ERP[#Headers],0))</f>
        <v>433522509715.61029</v>
      </c>
      <c r="G78" s="1"/>
      <c r="H78" s="1"/>
      <c r="I78" s="5">
        <f>INDEX(tbl_ERP[],MATCH(I77,tbl_ERP[Identifier],0),MATCH(RP_concrete!$D$22,tbl_ERP[#Headers],0))</f>
        <v>433522509715.61029</v>
      </c>
      <c r="J78" s="1"/>
      <c r="K78" s="1"/>
      <c r="L78" s="5" t="e">
        <f>INDEX(tbl_ERP[],MATCH(L77,tbl_ERP[Identifier],0),MATCH(RP_concrete!$D$22,tbl_ERP[#Headers],0))</f>
        <v>#N/A</v>
      </c>
      <c r="M78" s="1"/>
      <c r="N78" s="1"/>
      <c r="O78" s="5" t="e">
        <f>INDEX(tbl_ERP[],MATCH(O77,tbl_ERP[Identifier],0),MATCH(RP_concrete!$D$22,tbl_ERP[#Headers],0))</f>
        <v>#N/A</v>
      </c>
      <c r="P78" s="1"/>
      <c r="Q78" s="1"/>
      <c r="R78" s="5" t="e">
        <f>INDEX(tbl_ERP[],MATCH(R77,tbl_ERP[Identifier],0),MATCH(RP_concrete!$D$22,tbl_ERP[#Headers],0))</f>
        <v>#N/A</v>
      </c>
      <c r="S78" s="1"/>
      <c r="T78" s="1"/>
    </row>
    <row r="79" spans="1:20" s="3" customFormat="1" ht="14.5" customHeight="1" x14ac:dyDescent="0.55000000000000004">
      <c r="A79" s="95"/>
      <c r="B79" s="1"/>
      <c r="C79" s="1"/>
      <c r="D79" s="1"/>
      <c r="E79" s="46"/>
      <c r="F79" s="2"/>
      <c r="G79" s="1"/>
      <c r="H79" s="1"/>
      <c r="I79" s="2"/>
      <c r="J79" s="1"/>
      <c r="K79" s="1"/>
      <c r="L79" s="2"/>
      <c r="M79" s="1"/>
      <c r="N79" s="1"/>
      <c r="O79" s="2"/>
      <c r="P79" s="1"/>
      <c r="Q79" s="1"/>
      <c r="R79" s="2"/>
      <c r="S79" s="1"/>
      <c r="T79" s="1"/>
    </row>
    <row r="80" spans="1:20" s="3" customFormat="1" ht="14.5" customHeight="1" x14ac:dyDescent="0.55000000000000004">
      <c r="A80" s="95"/>
      <c r="B80" s="92"/>
      <c r="C80" s="1" t="s">
        <v>7</v>
      </c>
      <c r="D80" s="1" t="s">
        <v>34</v>
      </c>
      <c r="E80" s="46" t="s">
        <v>1</v>
      </c>
      <c r="F80" s="38">
        <f>INDEX(tbl_material[],MATCH(F$12,tbl_material[material],0),MATCH(RP_concrete!$F$5,tbl_material[#Headers],0))</f>
        <v>1</v>
      </c>
      <c r="G80" s="1"/>
      <c r="H80" s="1"/>
      <c r="I80" s="38">
        <f>INDEX(tbl_material[],MATCH(I$12,tbl_material[material],0),MATCH(RP_concrete!$I$5,tbl_material[#Headers],0))</f>
        <v>0.5</v>
      </c>
      <c r="J80" s="1"/>
      <c r="K80" s="1"/>
      <c r="L80" s="38" t="e">
        <f>INDEX(tbl_material[],MATCH(L$12,tbl_material[material],0),MATCH(RP_concrete!$I$5,tbl_material[#Headers],0))</f>
        <v>#N/A</v>
      </c>
      <c r="M80" s="1"/>
      <c r="N80" s="1"/>
      <c r="O80" s="38" t="e">
        <f>INDEX(tbl_material[],MATCH(O$12,tbl_material[material],0),MATCH(RP_concrete!$I$5,tbl_material[#Headers],0))</f>
        <v>#N/A</v>
      </c>
      <c r="P80" s="1"/>
      <c r="Q80" s="1"/>
      <c r="R80" s="38" t="e">
        <f>INDEX(tbl_material[],MATCH(R$12,tbl_material[material],0),MATCH(RP_concrete!$I$5,tbl_material[#Headers],0))</f>
        <v>#N/A</v>
      </c>
      <c r="S80" s="1"/>
      <c r="T80" s="1"/>
    </row>
    <row r="81" spans="1:20" s="3" customFormat="1" ht="14.5" customHeight="1" x14ac:dyDescent="0.55000000000000004">
      <c r="A81" s="95"/>
      <c r="B81" s="92"/>
      <c r="C81" s="1" t="s">
        <v>33</v>
      </c>
      <c r="D81" s="1" t="s">
        <v>34</v>
      </c>
      <c r="E81" s="46" t="s">
        <v>1</v>
      </c>
      <c r="F81" s="4">
        <f>1-F80</f>
        <v>0</v>
      </c>
      <c r="G81" s="1"/>
      <c r="H81" s="1"/>
      <c r="I81" s="4">
        <f>1-I80</f>
        <v>0.5</v>
      </c>
      <c r="J81" s="1"/>
      <c r="K81" s="1"/>
      <c r="L81" s="4" t="e">
        <f>1-L80</f>
        <v>#N/A</v>
      </c>
      <c r="M81" s="1"/>
      <c r="N81" s="1"/>
      <c r="O81" s="4" t="e">
        <f>1-O80</f>
        <v>#N/A</v>
      </c>
      <c r="P81" s="1"/>
      <c r="Q81" s="1"/>
      <c r="R81" s="4" t="e">
        <f>1-R80</f>
        <v>#N/A</v>
      </c>
      <c r="S81" s="1"/>
      <c r="T81" s="1"/>
    </row>
    <row r="82" spans="1:20" s="3" customFormat="1" ht="14.5" customHeight="1" x14ac:dyDescent="0.55000000000000004">
      <c r="A82" s="95"/>
      <c r="B82" s="1"/>
      <c r="C82" s="1"/>
      <c r="D82" s="1"/>
      <c r="E82" s="46"/>
      <c r="F82" s="10"/>
      <c r="G82" s="1"/>
      <c r="H82" s="1"/>
      <c r="I82" s="10"/>
      <c r="J82" s="1"/>
      <c r="K82" s="1"/>
      <c r="L82" s="10"/>
      <c r="M82" s="1"/>
      <c r="N82" s="1"/>
      <c r="O82" s="10"/>
      <c r="P82" s="1"/>
      <c r="Q82" s="1"/>
      <c r="R82" s="10"/>
      <c r="S82" s="1"/>
      <c r="T82" s="1"/>
    </row>
    <row r="83" spans="1:20" s="3" customFormat="1" ht="14.5" customHeight="1" x14ac:dyDescent="0.55000000000000004">
      <c r="A83" s="95"/>
      <c r="B83" s="92"/>
      <c r="C83" s="1" t="s">
        <v>57</v>
      </c>
      <c r="D83" s="1" t="s">
        <v>202</v>
      </c>
      <c r="E83" s="46" t="s">
        <v>2</v>
      </c>
      <c r="F83" s="38">
        <f>INDEX(tbl_material[],MATCH(F$12,tbl_material[material],0),MATCH(RP_concrete!$C$27,tbl_material[#Headers],0))</f>
        <v>20</v>
      </c>
      <c r="G83" s="15"/>
      <c r="H83" s="15"/>
      <c r="I83" s="38">
        <f>INDEX(tbl_material[],MATCH(I$12,tbl_material[material],0),MATCH(RP_concrete!$C$27,tbl_material[#Headers],0))</f>
        <v>20</v>
      </c>
      <c r="J83" s="15"/>
      <c r="K83" s="15"/>
      <c r="L83" s="38" t="e">
        <f>INDEX(tbl_material[],MATCH(L$12,tbl_material[material],0),MATCH(RP_concrete!$C$27,tbl_material[#Headers],0))</f>
        <v>#N/A</v>
      </c>
      <c r="M83" s="15"/>
      <c r="N83" s="15"/>
      <c r="O83" s="38" t="e">
        <f>INDEX(tbl_material[],MATCH(O$12,tbl_material[material],0),MATCH(RP_concrete!$C$27,tbl_material[#Headers],0))</f>
        <v>#N/A</v>
      </c>
      <c r="P83" s="15"/>
      <c r="Q83" s="15"/>
      <c r="R83" s="38" t="e">
        <f>INDEX(tbl_material[],MATCH(R$12,tbl_material[material],0),MATCH(RP_concrete!$C$27,tbl_material[#Headers],0))</f>
        <v>#N/A</v>
      </c>
      <c r="S83" s="15"/>
      <c r="T83" s="15"/>
    </row>
    <row r="84" spans="1:20" s="3" customFormat="1" ht="14.5" customHeight="1" x14ac:dyDescent="0.55000000000000004">
      <c r="A84" s="95"/>
      <c r="B84" s="92"/>
      <c r="C84" s="1" t="s">
        <v>58</v>
      </c>
      <c r="D84" s="1" t="s">
        <v>24</v>
      </c>
      <c r="E84" s="46" t="s">
        <v>1</v>
      </c>
      <c r="F84" s="38">
        <f>INDEX(tbl_material[],MATCH(F$12,tbl_material[material],0),MATCH(RP_concrete!$C$28,tbl_material[#Headers],0))</f>
        <v>0.1</v>
      </c>
      <c r="G84" s="1"/>
      <c r="H84" s="1"/>
      <c r="I84" s="38">
        <f>INDEX(tbl_material[],MATCH(I$12,tbl_material[material],0),MATCH(RP_concrete!$C$28,tbl_material[#Headers],0))</f>
        <v>0.1</v>
      </c>
      <c r="J84" s="1"/>
      <c r="K84" s="1"/>
      <c r="L84" s="38" t="e">
        <f>INDEX(tbl_material[],MATCH(L$12,tbl_material[material],0),MATCH(RP_concrete!$C$28,tbl_material[#Headers],0))</f>
        <v>#N/A</v>
      </c>
      <c r="M84" s="1"/>
      <c r="N84" s="1"/>
      <c r="O84" s="38" t="e">
        <f>INDEX(tbl_material[],MATCH(O$12,tbl_material[material],0),MATCH(RP_concrete!$C$28,tbl_material[#Headers],0))</f>
        <v>#N/A</v>
      </c>
      <c r="P84" s="1"/>
      <c r="Q84" s="1"/>
      <c r="R84" s="38" t="e">
        <f>INDEX(tbl_material[],MATCH(R$12,tbl_material[material],0),MATCH(RP_concrete!$C$28,tbl_material[#Headers],0))</f>
        <v>#N/A</v>
      </c>
      <c r="S84" s="1"/>
      <c r="T84" s="1"/>
    </row>
    <row r="85" spans="1:20" s="3" customFormat="1" ht="14.5" customHeight="1" x14ac:dyDescent="0.55000000000000004">
      <c r="A85" s="95"/>
      <c r="B85" s="92"/>
      <c r="C85" s="1" t="s">
        <v>58</v>
      </c>
      <c r="D85" s="1" t="s">
        <v>25</v>
      </c>
      <c r="E85" s="46" t="s">
        <v>2</v>
      </c>
      <c r="F85" s="15">
        <f>F83*F84</f>
        <v>2</v>
      </c>
      <c r="G85" s="1"/>
      <c r="H85" s="1"/>
      <c r="I85" s="15">
        <f>I83*I84</f>
        <v>2</v>
      </c>
      <c r="J85" s="1"/>
      <c r="K85" s="1"/>
      <c r="L85" s="15" t="e">
        <f>L83*L84</f>
        <v>#N/A</v>
      </c>
      <c r="M85" s="1"/>
      <c r="N85" s="1"/>
      <c r="O85" s="15" t="e">
        <f>O83*O84</f>
        <v>#N/A</v>
      </c>
      <c r="P85" s="1"/>
      <c r="Q85" s="1"/>
      <c r="R85" s="15" t="e">
        <f>R83*R84</f>
        <v>#N/A</v>
      </c>
      <c r="S85" s="1"/>
      <c r="T85" s="1"/>
    </row>
    <row r="86" spans="1:20" s="3" customFormat="1" ht="14.5" customHeight="1" x14ac:dyDescent="0.55000000000000004">
      <c r="A86" s="95"/>
      <c r="B86" s="92"/>
      <c r="C86" s="1" t="s">
        <v>23</v>
      </c>
      <c r="D86" s="1" t="s">
        <v>25</v>
      </c>
      <c r="E86" s="46" t="s">
        <v>2</v>
      </c>
      <c r="F86" s="15">
        <f>F83*(1+F84)</f>
        <v>22</v>
      </c>
      <c r="G86" s="1"/>
      <c r="H86" s="1"/>
      <c r="I86" s="15">
        <f>I83*(1+I84)</f>
        <v>22</v>
      </c>
      <c r="J86" s="1"/>
      <c r="K86" s="1"/>
      <c r="L86" s="15" t="e">
        <f>L83*(1+L84)</f>
        <v>#N/A</v>
      </c>
      <c r="M86" s="1"/>
      <c r="N86" s="1"/>
      <c r="O86" s="15" t="e">
        <f>O83*(1+O84)</f>
        <v>#N/A</v>
      </c>
      <c r="P86" s="1"/>
      <c r="Q86" s="1"/>
      <c r="R86" s="15" t="e">
        <f>R83*(1+R84)</f>
        <v>#N/A</v>
      </c>
      <c r="S86" s="1"/>
      <c r="T86" s="1"/>
    </row>
    <row r="87" spans="1:20" s="3" customFormat="1" ht="14.5" customHeight="1" x14ac:dyDescent="0.55000000000000004">
      <c r="A87" s="95"/>
      <c r="B87" s="1"/>
      <c r="C87" s="1"/>
      <c r="D87" s="1"/>
      <c r="E87" s="46"/>
      <c r="F87" s="4"/>
      <c r="G87" s="1"/>
      <c r="H87" s="1"/>
      <c r="I87" s="4"/>
      <c r="J87" s="1"/>
      <c r="K87" s="1"/>
      <c r="L87" s="4"/>
      <c r="M87" s="1"/>
      <c r="N87" s="1"/>
      <c r="O87" s="4"/>
      <c r="P87" s="1"/>
      <c r="Q87" s="1"/>
      <c r="R87" s="4"/>
      <c r="S87" s="1"/>
      <c r="T87" s="1"/>
    </row>
    <row r="88" spans="1:20" s="3" customFormat="1" ht="14.5" customHeight="1" x14ac:dyDescent="0.55000000000000004">
      <c r="A88" s="95"/>
      <c r="B88" s="92"/>
      <c r="C88" s="1" t="s">
        <v>8</v>
      </c>
      <c r="D88" s="1" t="s">
        <v>59</v>
      </c>
      <c r="E88" s="46" t="s">
        <v>1</v>
      </c>
      <c r="F88" s="38">
        <f>INDEX(tbl_material[],MATCH(F$12,tbl_material[material],0),MATCH(RP_concrete!$C$88,tbl_material[#Headers],0))</f>
        <v>1</v>
      </c>
      <c r="G88" s="1"/>
      <c r="H88" s="1"/>
      <c r="I88" s="38">
        <f>INDEX(tbl_material[],MATCH(I$12,tbl_material[material],0),MATCH(RP_concrete!$C$88,tbl_material[#Headers],0))</f>
        <v>1</v>
      </c>
      <c r="J88" s="1"/>
      <c r="K88" s="1"/>
      <c r="L88" s="38" t="e">
        <f>INDEX(tbl_material[],MATCH(L$12,tbl_material[material],0),MATCH(RP_concrete!$C$88,tbl_material[#Headers],0))</f>
        <v>#N/A</v>
      </c>
      <c r="M88" s="1"/>
      <c r="N88" s="1"/>
      <c r="O88" s="38" t="e">
        <f>INDEX(tbl_material[],MATCH(O$12,tbl_material[material],0),MATCH(RP_concrete!$C$88,tbl_material[#Headers],0))</f>
        <v>#N/A</v>
      </c>
      <c r="P88" s="1"/>
      <c r="Q88" s="1"/>
      <c r="R88" s="38" t="e">
        <f>INDEX(tbl_material[],MATCH(R$12,tbl_material[material],0),MATCH(RP_concrete!$C$88,tbl_material[#Headers],0))</f>
        <v>#N/A</v>
      </c>
      <c r="S88" s="1"/>
      <c r="T88" s="1"/>
    </row>
    <row r="89" spans="1:20" s="3" customFormat="1" ht="14.5" customHeight="1" x14ac:dyDescent="0.55000000000000004">
      <c r="A89" s="95"/>
      <c r="B89" s="92"/>
      <c r="C89" s="1" t="s">
        <v>9</v>
      </c>
      <c r="D89" s="1" t="s">
        <v>60</v>
      </c>
      <c r="E89" s="46" t="s">
        <v>1</v>
      </c>
      <c r="F89" s="38">
        <f>INDEX(tbl_material[],MATCH(F$12,tbl_material[material],0),MATCH(RP_concrete!$C$33,tbl_material[#Headers],0))</f>
        <v>0.9</v>
      </c>
      <c r="G89" s="1"/>
      <c r="H89" s="1"/>
      <c r="I89" s="38">
        <f>INDEX(tbl_material[],MATCH(I$12,tbl_material[material],0),MATCH(RP_concrete!$C$33,tbl_material[#Headers],0))</f>
        <v>0.9</v>
      </c>
      <c r="J89" s="1"/>
      <c r="K89" s="1"/>
      <c r="L89" s="38" t="e">
        <f>INDEX(tbl_material[],MATCH(L$12,tbl_material[material],0),MATCH(RP_concrete!$C$33,tbl_material[#Headers],0))</f>
        <v>#N/A</v>
      </c>
      <c r="M89" s="1"/>
      <c r="N89" s="1"/>
      <c r="O89" s="38" t="e">
        <f>INDEX(tbl_material[],MATCH(O$12,tbl_material[material],0),MATCH(RP_concrete!$C$33,tbl_material[#Headers],0))</f>
        <v>#N/A</v>
      </c>
      <c r="P89" s="1"/>
      <c r="Q89" s="1"/>
      <c r="R89" s="38" t="e">
        <f>INDEX(tbl_material[],MATCH(R$12,tbl_material[material],0),MATCH(RP_concrete!$C$33,tbl_material[#Headers],0))</f>
        <v>#N/A</v>
      </c>
      <c r="S89" s="1"/>
      <c r="T89" s="1"/>
    </row>
    <row r="90" spans="1:20" s="3" customFormat="1" ht="14.5" customHeight="1" x14ac:dyDescent="0.55000000000000004">
      <c r="A90" s="95"/>
      <c r="B90" s="92"/>
      <c r="C90" s="1" t="s">
        <v>62</v>
      </c>
      <c r="D90" s="1" t="s">
        <v>60</v>
      </c>
      <c r="E90" s="46" t="s">
        <v>1</v>
      </c>
      <c r="F90" s="38">
        <f>INDEX(tbl_material[],MATCH(F$12,tbl_material[material],0),MATCH(RP_concrete!$C$90,tbl_material[#Headers],0))</f>
        <v>0</v>
      </c>
      <c r="G90" s="1"/>
      <c r="H90" s="1"/>
      <c r="I90" s="38">
        <f>INDEX(tbl_material[],MATCH(I$12,tbl_material[material],0),MATCH(RP_concrete!$C$90,tbl_material[#Headers],0))</f>
        <v>0</v>
      </c>
      <c r="J90" s="1"/>
      <c r="K90" s="1"/>
      <c r="L90" s="38" t="e">
        <f>INDEX(tbl_material[],MATCH(L$12,tbl_material[material],0),MATCH(RP_concrete!$C$90,tbl_material[#Headers],0))</f>
        <v>#N/A</v>
      </c>
      <c r="M90" s="1"/>
      <c r="N90" s="1"/>
      <c r="O90" s="38" t="e">
        <f>INDEX(tbl_material[],MATCH(O$12,tbl_material[material],0),MATCH(RP_concrete!$C$90,tbl_material[#Headers],0))</f>
        <v>#N/A</v>
      </c>
      <c r="P90" s="1"/>
      <c r="Q90" s="1"/>
      <c r="R90" s="38" t="e">
        <f>INDEX(tbl_material[],MATCH(R$12,tbl_material[material],0),MATCH(RP_concrete!$C$90,tbl_material[#Headers],0))</f>
        <v>#N/A</v>
      </c>
      <c r="S90" s="1"/>
      <c r="T90" s="1"/>
    </row>
    <row r="91" spans="1:20" s="3" customFormat="1" ht="14.5" customHeight="1" x14ac:dyDescent="0.55000000000000004">
      <c r="A91" s="95"/>
      <c r="B91" s="92"/>
      <c r="C91" s="1" t="s">
        <v>22</v>
      </c>
      <c r="D91" s="1" t="s">
        <v>60</v>
      </c>
      <c r="E91" s="46" t="s">
        <v>1</v>
      </c>
      <c r="F91" s="4">
        <f>1-F88+F88*(1-F89-F90)</f>
        <v>9.9999999999999978E-2</v>
      </c>
      <c r="G91" s="4"/>
      <c r="H91" s="4"/>
      <c r="I91" s="4">
        <f>1-I88+I88*(1-I89-I90)</f>
        <v>9.9999999999999978E-2</v>
      </c>
      <c r="J91" s="4"/>
      <c r="K91" s="4"/>
      <c r="L91" s="4" t="e">
        <f>1-L88+L88*(1-L89-L90)</f>
        <v>#N/A</v>
      </c>
      <c r="M91" s="4"/>
      <c r="N91" s="4"/>
      <c r="O91" s="4" t="e">
        <f>1-O88+O88*(1-O89-O90)</f>
        <v>#N/A</v>
      </c>
      <c r="P91" s="4"/>
      <c r="Q91" s="4"/>
      <c r="R91" s="4" t="e">
        <f>1-R88+R88*(1-R89-R90)</f>
        <v>#N/A</v>
      </c>
      <c r="S91" s="4"/>
      <c r="T91" s="4"/>
    </row>
    <row r="92" spans="1:20" s="3" customFormat="1" ht="14.5" customHeight="1" x14ac:dyDescent="0.55000000000000004">
      <c r="A92" s="95"/>
      <c r="B92" s="1"/>
      <c r="C92" s="1"/>
      <c r="D92" s="1"/>
      <c r="E92" s="46"/>
      <c r="F92" s="4"/>
      <c r="G92" s="1"/>
      <c r="H92" s="1"/>
      <c r="I92" s="4"/>
      <c r="J92" s="1"/>
      <c r="K92" s="1"/>
      <c r="L92" s="4"/>
      <c r="M92" s="1"/>
      <c r="N92" s="1"/>
      <c r="O92" s="4"/>
      <c r="P92" s="1"/>
      <c r="Q92" s="1"/>
      <c r="R92" s="4"/>
      <c r="S92" s="1"/>
      <c r="T92" s="1"/>
    </row>
    <row r="93" spans="1:20" s="3" customFormat="1" ht="14.5" customHeight="1" x14ac:dyDescent="0.55000000000000004">
      <c r="A93" s="95"/>
      <c r="B93" s="92"/>
      <c r="C93" s="1" t="s">
        <v>8</v>
      </c>
      <c r="D93" s="1" t="s">
        <v>20</v>
      </c>
      <c r="E93" s="46" t="s">
        <v>1</v>
      </c>
      <c r="F93" s="38">
        <f>INDEX(tbl_material[],MATCH(F$12,tbl_material[material],0),MATCH(RP_concrete!$F$6,tbl_material[#Headers],0))</f>
        <v>1</v>
      </c>
      <c r="G93" s="24"/>
      <c r="H93" s="24"/>
      <c r="I93" s="38">
        <f>INDEX(tbl_material[],MATCH(I$12,tbl_material[material],0),MATCH(RP_concrete!$I$6,tbl_material[#Headers],0))</f>
        <v>1</v>
      </c>
      <c r="J93" s="24"/>
      <c r="K93" s="24"/>
      <c r="L93" s="38" t="e">
        <f>INDEX(tbl_material[],MATCH(L$12,tbl_material[material],0),MATCH(RP_concrete!$I$6,tbl_material[#Headers],0))</f>
        <v>#N/A</v>
      </c>
      <c r="M93" s="24"/>
      <c r="N93" s="24"/>
      <c r="O93" s="38" t="e">
        <f>INDEX(tbl_material[],MATCH(O$12,tbl_material[material],0),MATCH(RP_concrete!$I$6,tbl_material[#Headers],0))</f>
        <v>#N/A</v>
      </c>
      <c r="P93" s="24"/>
      <c r="Q93" s="24"/>
      <c r="R93" s="38" t="e">
        <f>INDEX(tbl_material[],MATCH(R$12,tbl_material[material],0),MATCH(RP_concrete!$I$6,tbl_material[#Headers],0))</f>
        <v>#N/A</v>
      </c>
      <c r="S93" s="24"/>
      <c r="T93" s="24"/>
    </row>
    <row r="94" spans="1:20" s="3" customFormat="1" ht="14.5" customHeight="1" x14ac:dyDescent="0.55000000000000004">
      <c r="A94" s="95"/>
      <c r="B94" s="92"/>
      <c r="C94" s="1" t="s">
        <v>9</v>
      </c>
      <c r="D94" s="1" t="s">
        <v>61</v>
      </c>
      <c r="E94" s="46" t="s">
        <v>1</v>
      </c>
      <c r="F94" s="38">
        <f>INDEX(tbl_material[],MATCH(F$12,tbl_material[material],0),MATCH(RP_concrete!$F$7,tbl_material[#Headers],0))</f>
        <v>0.7</v>
      </c>
      <c r="G94" s="4"/>
      <c r="H94" s="4"/>
      <c r="I94" s="38">
        <f>INDEX(tbl_material[],MATCH(I$12,tbl_material[material],0),MATCH(RP_concrete!$I$7,tbl_material[#Headers],0))</f>
        <v>0.9</v>
      </c>
      <c r="J94" s="4"/>
      <c r="K94" s="4"/>
      <c r="L94" s="38" t="e">
        <f>INDEX(tbl_material[],MATCH(L$12,tbl_material[material],0),MATCH(RP_concrete!$I$7,tbl_material[#Headers],0))</f>
        <v>#N/A</v>
      </c>
      <c r="M94" s="4"/>
      <c r="N94" s="4"/>
      <c r="O94" s="38" t="e">
        <f>INDEX(tbl_material[],MATCH(O$12,tbl_material[material],0),MATCH(RP_concrete!$I$7,tbl_material[#Headers],0))</f>
        <v>#N/A</v>
      </c>
      <c r="P94" s="4"/>
      <c r="Q94" s="4"/>
      <c r="R94" s="38" t="e">
        <f>INDEX(tbl_material[],MATCH(R$12,tbl_material[material],0),MATCH(RP_concrete!$I$7,tbl_material[#Headers],0))</f>
        <v>#N/A</v>
      </c>
      <c r="S94" s="4"/>
      <c r="T94" s="4"/>
    </row>
    <row r="95" spans="1:20" s="3" customFormat="1" ht="14.5" customHeight="1" x14ac:dyDescent="0.55000000000000004">
      <c r="A95" s="95"/>
      <c r="B95" s="92"/>
      <c r="C95" s="1" t="s">
        <v>62</v>
      </c>
      <c r="D95" s="1" t="s">
        <v>61</v>
      </c>
      <c r="E95" s="46" t="s">
        <v>1</v>
      </c>
      <c r="F95" s="38">
        <f>INDEX(tbl_material[],MATCH(F$12,tbl_material[material],0),MATCH(RP_concrete!$F$8,tbl_material[#Headers],0))</f>
        <v>0</v>
      </c>
      <c r="G95" s="4"/>
      <c r="H95" s="4"/>
      <c r="I95" s="38">
        <f>INDEX(tbl_material[],MATCH(I$12,tbl_material[material],0),MATCH(RP_concrete!$I$8,tbl_material[#Headers],0))</f>
        <v>0</v>
      </c>
      <c r="J95" s="4"/>
      <c r="K95" s="4"/>
      <c r="L95" s="38" t="e">
        <f>INDEX(tbl_material[],MATCH(L$12,tbl_material[material],0),MATCH(RP_concrete!$I$8,tbl_material[#Headers],0))</f>
        <v>#N/A</v>
      </c>
      <c r="M95" s="4"/>
      <c r="N95" s="4"/>
      <c r="O95" s="38" t="e">
        <f>INDEX(tbl_material[],MATCH(O$12,tbl_material[material],0),MATCH(RP_concrete!$I$8,tbl_material[#Headers],0))</f>
        <v>#N/A</v>
      </c>
      <c r="P95" s="4"/>
      <c r="Q95" s="4"/>
      <c r="R95" s="38" t="e">
        <f>INDEX(tbl_material[],MATCH(R$12,tbl_material[material],0),MATCH(RP_concrete!$I$8,tbl_material[#Headers],0))</f>
        <v>#N/A</v>
      </c>
      <c r="S95" s="4"/>
      <c r="T95" s="4"/>
    </row>
    <row r="96" spans="1:20" s="3" customFormat="1" ht="14.5" customHeight="1" x14ac:dyDescent="0.55000000000000004">
      <c r="A96" s="95"/>
      <c r="B96" s="92"/>
      <c r="C96" s="1" t="s">
        <v>22</v>
      </c>
      <c r="D96" s="1" t="s">
        <v>61</v>
      </c>
      <c r="E96" s="46" t="s">
        <v>1</v>
      </c>
      <c r="F96" s="4">
        <f>1-F93+F93*(1-F94-F95)</f>
        <v>0.30000000000000004</v>
      </c>
      <c r="G96" s="4"/>
      <c r="H96" s="4"/>
      <c r="I96" s="4">
        <f>1-I93+I93*(1-I94-I95)</f>
        <v>9.9999999999999978E-2</v>
      </c>
      <c r="J96" s="4"/>
      <c r="K96" s="4"/>
      <c r="L96" s="4" t="e">
        <f>1-L93+L93*(1-L94-L95)</f>
        <v>#N/A</v>
      </c>
      <c r="M96" s="4"/>
      <c r="N96" s="4"/>
      <c r="O96" s="4" t="e">
        <f>1-O93+O93*(1-O94-O95)</f>
        <v>#N/A</v>
      </c>
      <c r="P96" s="4"/>
      <c r="Q96" s="4"/>
      <c r="R96" s="4" t="e">
        <f>1-R93+R93*(1-R94-R95)</f>
        <v>#N/A</v>
      </c>
      <c r="S96" s="4"/>
      <c r="T96" s="4"/>
    </row>
    <row r="97" spans="1:20" s="3" customFormat="1" ht="14.5" customHeight="1" x14ac:dyDescent="0.55000000000000004">
      <c r="A97" s="95"/>
      <c r="B97" s="1"/>
      <c r="C97" s="1"/>
      <c r="D97" s="1"/>
      <c r="E97" s="4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s="3" customFormat="1" ht="14.5" customHeight="1" x14ac:dyDescent="0.55000000000000004">
      <c r="A98" s="95"/>
      <c r="B98" s="92"/>
      <c r="C98" s="1" t="s">
        <v>5</v>
      </c>
      <c r="D98" s="1" t="s">
        <v>35</v>
      </c>
      <c r="E98" s="46" t="s">
        <v>1</v>
      </c>
      <c r="F98" s="11">
        <f>(F88*F89*F84+F93*F94)/(1+F84)</f>
        <v>0.71818181818181803</v>
      </c>
      <c r="G98" s="11"/>
      <c r="H98" s="11"/>
      <c r="I98" s="11">
        <f>(I88*I89*I84+I93*I94)/(1+I84)</f>
        <v>0.89999999999999991</v>
      </c>
      <c r="J98" s="11"/>
      <c r="K98" s="11"/>
      <c r="L98" s="11" t="e">
        <f>(L88*L89*L84+L93*L94)/(1+L84)</f>
        <v>#N/A</v>
      </c>
      <c r="M98" s="11"/>
      <c r="N98" s="11"/>
      <c r="O98" s="11" t="e">
        <f>(O88*O89*O84+O93*O94)/(1+O84)</f>
        <v>#N/A</v>
      </c>
      <c r="P98" s="11"/>
      <c r="Q98" s="11"/>
      <c r="R98" s="11" t="e">
        <f>(R88*R89*R84+R93*R94)/(1+R84)</f>
        <v>#N/A</v>
      </c>
      <c r="S98" s="11"/>
      <c r="T98" s="11"/>
    </row>
    <row r="99" spans="1:20" s="3" customFormat="1" ht="14.5" customHeight="1" x14ac:dyDescent="0.55000000000000004">
      <c r="A99" s="95"/>
      <c r="B99" s="92"/>
      <c r="C99" s="1" t="s">
        <v>4</v>
      </c>
      <c r="D99" s="1" t="s">
        <v>35</v>
      </c>
      <c r="E99" s="46" t="s">
        <v>1</v>
      </c>
      <c r="F99" s="11">
        <f>(F88*F90*F84+F93*F95)/(1+F84)</f>
        <v>0</v>
      </c>
      <c r="G99" s="11"/>
      <c r="H99" s="11"/>
      <c r="I99" s="11">
        <f>(I88*I90*I84+I93*I95)/(1+I84)</f>
        <v>0</v>
      </c>
      <c r="J99" s="11"/>
      <c r="K99" s="11"/>
      <c r="L99" s="11" t="e">
        <f>(L88*L90*L84+L93*L95)/(1+L84)</f>
        <v>#N/A</v>
      </c>
      <c r="M99" s="11"/>
      <c r="N99" s="11"/>
      <c r="O99" s="11" t="e">
        <f>(O88*O90*O84+O93*O95)/(1+O84)</f>
        <v>#N/A</v>
      </c>
      <c r="P99" s="11"/>
      <c r="Q99" s="11"/>
      <c r="R99" s="11" t="e">
        <f>(R88*R90*R84+R93*R95)/(1+R84)</f>
        <v>#N/A</v>
      </c>
      <c r="S99" s="11"/>
      <c r="T99" s="11"/>
    </row>
    <row r="100" spans="1:20" s="3" customFormat="1" ht="14.5" customHeight="1" x14ac:dyDescent="0.55000000000000004">
      <c r="A100" s="95"/>
      <c r="B100" s="92"/>
      <c r="C100" s="1" t="s">
        <v>6</v>
      </c>
      <c r="D100" s="1" t="s">
        <v>35</v>
      </c>
      <c r="E100" s="46" t="s">
        <v>1</v>
      </c>
      <c r="F100" s="4">
        <f>1-F98-F99</f>
        <v>0.28181818181818197</v>
      </c>
      <c r="G100" s="4"/>
      <c r="H100" s="4"/>
      <c r="I100" s="4">
        <f>1-I98-I99</f>
        <v>0.10000000000000009</v>
      </c>
      <c r="J100" s="4"/>
      <c r="K100" s="4"/>
      <c r="L100" s="4" t="e">
        <f>1-L98-L99</f>
        <v>#N/A</v>
      </c>
      <c r="M100" s="4"/>
      <c r="N100" s="4"/>
      <c r="O100" s="4" t="e">
        <f>1-O98-O99</f>
        <v>#N/A</v>
      </c>
      <c r="P100" s="4"/>
      <c r="Q100" s="4"/>
      <c r="R100" s="4" t="e">
        <f>1-R98-R99</f>
        <v>#N/A</v>
      </c>
      <c r="S100" s="4"/>
      <c r="T100" s="4"/>
    </row>
    <row r="101" spans="1:20" s="3" customFormat="1" ht="14.5" customHeight="1" x14ac:dyDescent="0.55000000000000004">
      <c r="A101" s="95"/>
      <c r="B101" s="1"/>
      <c r="C101" s="1"/>
      <c r="D101" s="1"/>
      <c r="E101" s="4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s="3" customFormat="1" ht="14.5" customHeight="1" x14ac:dyDescent="0.65">
      <c r="A102" s="95"/>
      <c r="B102" s="9" t="s">
        <v>31</v>
      </c>
      <c r="C102" s="3" t="s">
        <v>43</v>
      </c>
      <c r="D102" s="3" t="s">
        <v>38</v>
      </c>
      <c r="E102" s="25" t="s">
        <v>1</v>
      </c>
      <c r="F102" s="6">
        <f>(0.5*F83/F78)*(1+F84)*(1/lifetime_concrete)*(1+F80*(1-F98)-F98-F99)</f>
        <v>3.5753622136409879E-13</v>
      </c>
      <c r="G102" s="5"/>
      <c r="H102" s="5"/>
      <c r="I102" s="6">
        <f>(0.5*I83/I78)*(1+I84)*(1/lifetime_concrete)*(1+I80*(1-I98)-I98-I99)</f>
        <v>9.5150768588832769E-14</v>
      </c>
      <c r="J102" s="5"/>
      <c r="K102" s="5"/>
      <c r="L102" s="6" t="e">
        <f>(0.5*L83/L78)*(1+L84)*(1/lifetime_concrete)*(1+L80*(1-L98)-L98-L99)</f>
        <v>#N/A</v>
      </c>
      <c r="M102" s="5"/>
      <c r="N102" s="5"/>
      <c r="O102" s="6" t="e">
        <f>(0.5*O83/O78)*(1+O84)*(1/lifetime_concrete)*(1+O80*(1-O98)-O98-O99)</f>
        <v>#N/A</v>
      </c>
      <c r="P102" s="5"/>
      <c r="Q102" s="5"/>
      <c r="R102" s="6" t="e">
        <f>(0.5*R83/R78)*(1+R84)*(1/lifetime_concrete)*(1+R80*(1-R98)-R98-R99)</f>
        <v>#N/A</v>
      </c>
      <c r="S102" s="5"/>
      <c r="T102" s="5"/>
    </row>
    <row r="103" spans="1:20" s="3" customFormat="1" ht="14.5" customHeight="1" x14ac:dyDescent="0.65">
      <c r="A103" s="9"/>
      <c r="B103" s="9"/>
      <c r="E103" s="25"/>
      <c r="F103" s="6"/>
      <c r="G103" s="5"/>
      <c r="H103" s="5"/>
      <c r="I103" s="6"/>
      <c r="J103" s="5"/>
      <c r="K103" s="5"/>
      <c r="L103" s="6"/>
      <c r="M103" s="5"/>
      <c r="N103" s="5"/>
      <c r="O103" s="6"/>
      <c r="P103" s="5"/>
      <c r="Q103" s="5"/>
      <c r="R103" s="6"/>
      <c r="S103" s="5"/>
      <c r="T103" s="5"/>
    </row>
    <row r="104" spans="1:20" s="3" customFormat="1" ht="14.5" customHeight="1" x14ac:dyDescent="0.65">
      <c r="A104" s="9"/>
      <c r="B104" s="9"/>
      <c r="E104" s="25"/>
      <c r="F104" s="6"/>
      <c r="G104" s="5"/>
      <c r="H104" s="5"/>
      <c r="I104" s="6"/>
      <c r="J104" s="5"/>
      <c r="K104" s="5"/>
      <c r="L104" s="6"/>
      <c r="M104" s="5"/>
      <c r="N104" s="5"/>
      <c r="O104" s="6"/>
      <c r="P104" s="5"/>
      <c r="Q104" s="5"/>
      <c r="R104" s="6"/>
      <c r="S104" s="5"/>
      <c r="T104" s="5"/>
    </row>
    <row r="105" spans="1:20" x14ac:dyDescent="0.55000000000000004">
      <c r="A105" s="94" t="s">
        <v>189</v>
      </c>
      <c r="B105" s="46" t="s">
        <v>46</v>
      </c>
      <c r="C105" s="1" t="s">
        <v>44</v>
      </c>
      <c r="D105" s="1" t="s">
        <v>139</v>
      </c>
      <c r="F105" s="13" t="str">
        <f>INDEX(tbl_material[],MATCH(F$13,tbl_material[ERP identifier],0),MATCH(RP_concrete!$D$105,tbl_material[#Headers],0))</f>
        <v>PUR</v>
      </c>
      <c r="I105" s="13" t="str">
        <f>INDEX(tbl_material[],MATCH(I$13,tbl_material[ERP identifier],0),MATCH(RP_concrete!$D$105,tbl_material[#Headers],0))</f>
        <v>PUR</v>
      </c>
      <c r="L105" s="13" t="e">
        <f>INDEX(tbl_material[],MATCH(L$13,tbl_material[ERP identifier],0),MATCH(RP_concrete!$D$105,tbl_material[#Headers],0))</f>
        <v>#N/A</v>
      </c>
      <c r="O105" s="13" t="e">
        <f>INDEX(tbl_material[],MATCH(O$13,tbl_material[ERP identifier],0),MATCH(RP_concrete!$D$105,tbl_material[#Headers],0))</f>
        <v>#N/A</v>
      </c>
      <c r="R105" s="13" t="e">
        <f>INDEX(tbl_material[],MATCH(R$13,tbl_material[ERP identifier],0),MATCH(RP_concrete!$D$105,tbl_material[#Headers],0))</f>
        <v>#N/A</v>
      </c>
    </row>
    <row r="106" spans="1:20" customFormat="1" ht="14.5" customHeight="1" x14ac:dyDescent="0.55000000000000004">
      <c r="A106" s="94"/>
      <c r="B106" s="25" t="s">
        <v>10</v>
      </c>
      <c r="C106" s="1" t="s">
        <v>26</v>
      </c>
      <c r="D106" s="1" t="s">
        <v>109</v>
      </c>
      <c r="E106" s="46" t="s">
        <v>3</v>
      </c>
      <c r="F106" s="5">
        <f>INDEX(tbl_ERP[],MATCH(F105,tbl_ERP[Identifier],0),MATCH(RP_concrete!$D$106,tbl_ERP[#Headers],0))</f>
        <v>120731947391.18979</v>
      </c>
      <c r="G106" s="1"/>
      <c r="H106" s="1"/>
      <c r="I106" s="5">
        <f>INDEX(tbl_ERP[],MATCH(I105,tbl_ERP[Identifier],0),MATCH(RP_concrete!$D$106,tbl_ERP[#Headers],0))</f>
        <v>120731947391.18979</v>
      </c>
      <c r="J106" s="1"/>
      <c r="K106" s="1"/>
      <c r="L106" s="5" t="e">
        <f>INDEX(tbl_ERP[],MATCH(L105,tbl_ERP[Identifier],0),MATCH(RP_concrete!$D$106,tbl_ERP[#Headers],0))</f>
        <v>#N/A</v>
      </c>
      <c r="M106" s="1"/>
      <c r="N106" s="1"/>
      <c r="O106" s="5" t="e">
        <f>INDEX(tbl_ERP[],MATCH(O105,tbl_ERP[Identifier],0),MATCH(RP_concrete!$D$106,tbl_ERP[#Headers],0))</f>
        <v>#N/A</v>
      </c>
      <c r="P106" s="1"/>
      <c r="Q106" s="1"/>
      <c r="R106" s="5" t="e">
        <f>INDEX(tbl_ERP[],MATCH(R105,tbl_ERP[Identifier],0),MATCH(RP_concrete!$D$106,tbl_ERP[#Headers],0))</f>
        <v>#N/A</v>
      </c>
      <c r="S106" s="1"/>
      <c r="T106" s="1"/>
    </row>
    <row r="107" spans="1:20" customFormat="1" ht="14.5" customHeight="1" x14ac:dyDescent="0.55000000000000004">
      <c r="A107" s="94"/>
      <c r="B107" s="1"/>
      <c r="C107" s="1"/>
      <c r="D107" s="1"/>
      <c r="E107" s="46"/>
      <c r="F107" s="2"/>
      <c r="G107" s="1"/>
      <c r="H107" s="1"/>
      <c r="I107" s="2"/>
      <c r="J107" s="1"/>
      <c r="K107" s="1"/>
      <c r="L107" s="2"/>
      <c r="M107" s="1"/>
      <c r="N107" s="1"/>
      <c r="O107" s="2"/>
      <c r="P107" s="1"/>
      <c r="Q107" s="1"/>
      <c r="R107" s="2"/>
      <c r="S107" s="1"/>
      <c r="T107" s="1"/>
    </row>
    <row r="108" spans="1:20" customFormat="1" ht="14.5" customHeight="1" x14ac:dyDescent="0.55000000000000004">
      <c r="A108" s="94"/>
      <c r="B108" s="92"/>
      <c r="C108" s="1" t="s">
        <v>7</v>
      </c>
      <c r="D108" s="1" t="s">
        <v>34</v>
      </c>
      <c r="E108" s="46" t="s">
        <v>1</v>
      </c>
      <c r="F108" s="38">
        <f>INDEX(tbl_material[],MATCH(F$13,tbl_material[material],0),MATCH(RP_concrete!$F$5,tbl_material[#Headers],0))</f>
        <v>1</v>
      </c>
      <c r="G108" s="1"/>
      <c r="H108" s="1"/>
      <c r="I108" s="38">
        <f>INDEX(tbl_material[],MATCH(I$13,tbl_material[material],0),MATCH(RP_concrete!$I$5,tbl_material[#Headers],0))</f>
        <v>1</v>
      </c>
      <c r="J108" s="1"/>
      <c r="K108" s="1"/>
      <c r="L108" s="38" t="e">
        <f>INDEX(tbl_material[],MATCH(L$13,tbl_material[material],0),MATCH(RP_concrete!$I$5,tbl_material[#Headers],0))</f>
        <v>#N/A</v>
      </c>
      <c r="M108" s="1"/>
      <c r="N108" s="1"/>
      <c r="O108" s="38" t="e">
        <f>INDEX(tbl_material[],MATCH(O$13,tbl_material[material],0),MATCH(RP_concrete!$I$5,tbl_material[#Headers],0))</f>
        <v>#N/A</v>
      </c>
      <c r="P108" s="1"/>
      <c r="Q108" s="1"/>
      <c r="R108" s="38" t="e">
        <f>INDEX(tbl_material[],MATCH(R$13,tbl_material[material],0),MATCH(RP_concrete!$I$5,tbl_material[#Headers],0))</f>
        <v>#N/A</v>
      </c>
      <c r="S108" s="1"/>
      <c r="T108" s="1"/>
    </row>
    <row r="109" spans="1:20" customFormat="1" ht="14.5" customHeight="1" x14ac:dyDescent="0.55000000000000004">
      <c r="A109" s="94"/>
      <c r="B109" s="92"/>
      <c r="C109" s="1" t="s">
        <v>33</v>
      </c>
      <c r="D109" s="1" t="s">
        <v>34</v>
      </c>
      <c r="E109" s="46" t="s">
        <v>1</v>
      </c>
      <c r="F109" s="4">
        <f>1-F108</f>
        <v>0</v>
      </c>
      <c r="G109" s="4"/>
      <c r="H109" s="4"/>
      <c r="I109" s="4">
        <f>1-I108</f>
        <v>0</v>
      </c>
      <c r="J109" s="4"/>
      <c r="K109" s="4"/>
      <c r="L109" s="4" t="e">
        <f>1-L108</f>
        <v>#N/A</v>
      </c>
      <c r="M109" s="4"/>
      <c r="N109" s="4"/>
      <c r="O109" s="4" t="e">
        <f>1-O108</f>
        <v>#N/A</v>
      </c>
      <c r="P109" s="4"/>
      <c r="Q109" s="4"/>
      <c r="R109" s="4" t="e">
        <f>1-R108</f>
        <v>#N/A</v>
      </c>
      <c r="S109" s="4"/>
      <c r="T109" s="4"/>
    </row>
    <row r="110" spans="1:20" customFormat="1" ht="14.5" customHeight="1" x14ac:dyDescent="0.55000000000000004">
      <c r="A110" s="94"/>
      <c r="B110" s="1"/>
      <c r="C110" s="1"/>
      <c r="D110" s="1"/>
      <c r="E110" s="46"/>
      <c r="F110" s="10"/>
      <c r="G110" s="1"/>
      <c r="H110" s="1"/>
      <c r="I110" s="10"/>
      <c r="J110" s="1"/>
      <c r="K110" s="1"/>
      <c r="L110" s="10"/>
      <c r="M110" s="1"/>
      <c r="N110" s="1"/>
      <c r="O110" s="10"/>
      <c r="P110" s="1"/>
      <c r="Q110" s="1"/>
      <c r="R110" s="10"/>
      <c r="S110" s="1"/>
      <c r="T110" s="1"/>
    </row>
    <row r="111" spans="1:20" customFormat="1" ht="14.5" customHeight="1" x14ac:dyDescent="0.55000000000000004">
      <c r="A111" s="94"/>
      <c r="B111" s="92"/>
      <c r="C111" s="1" t="s">
        <v>57</v>
      </c>
      <c r="D111" s="1" t="s">
        <v>25</v>
      </c>
      <c r="E111" s="46" t="s">
        <v>2</v>
      </c>
      <c r="F111" s="38">
        <f>INDEX(tbl_material[],MATCH(F$13,tbl_material[material],0),MATCH(RP_concrete!$C$111,tbl_material[#Headers],0))</f>
        <v>5</v>
      </c>
      <c r="G111" s="15"/>
      <c r="H111" s="15"/>
      <c r="I111" s="38">
        <f>INDEX(tbl_material[],MATCH(I$13,tbl_material[material],0),MATCH(RP_concrete!$C$111,tbl_material[#Headers],0))</f>
        <v>5</v>
      </c>
      <c r="J111" s="15"/>
      <c r="K111" s="15"/>
      <c r="L111" s="38" t="e">
        <f>INDEX(tbl_material[],MATCH(L$13,tbl_material[material],0),MATCH(RP_concrete!$C$111,tbl_material[#Headers],0))</f>
        <v>#N/A</v>
      </c>
      <c r="M111" s="15"/>
      <c r="N111" s="15"/>
      <c r="O111" s="38" t="e">
        <f>INDEX(tbl_material[],MATCH(O$13,tbl_material[material],0),MATCH(RP_concrete!$C$111,tbl_material[#Headers],0))</f>
        <v>#N/A</v>
      </c>
      <c r="P111" s="15"/>
      <c r="Q111" s="15"/>
      <c r="R111" s="38" t="e">
        <f>INDEX(tbl_material[],MATCH(R$13,tbl_material[material],0),MATCH(RP_concrete!$C$111,tbl_material[#Headers],0))</f>
        <v>#N/A</v>
      </c>
      <c r="S111" s="15"/>
      <c r="T111" s="15"/>
    </row>
    <row r="112" spans="1:20" customFormat="1" ht="14.5" customHeight="1" x14ac:dyDescent="0.55000000000000004">
      <c r="A112" s="94"/>
      <c r="B112" s="92"/>
      <c r="C112" s="1" t="s">
        <v>58</v>
      </c>
      <c r="D112" s="1" t="s">
        <v>24</v>
      </c>
      <c r="E112" s="46" t="s">
        <v>1</v>
      </c>
      <c r="F112" s="38">
        <f>INDEX(tbl_material[],MATCH(F$13,tbl_material[material],0),MATCH(RP_concrete!$C$112,tbl_material[#Headers],0))</f>
        <v>0.2</v>
      </c>
      <c r="G112" s="1"/>
      <c r="H112" s="1"/>
      <c r="I112" s="38">
        <f>INDEX(tbl_material[],MATCH(I$13,tbl_material[material],0),MATCH(RP_concrete!$C$112,tbl_material[#Headers],0))</f>
        <v>0.2</v>
      </c>
      <c r="J112" s="1"/>
      <c r="K112" s="1"/>
      <c r="L112" s="38" t="e">
        <f>INDEX(tbl_material[],MATCH(L$13,tbl_material[material],0),MATCH(RP_concrete!$C$112,tbl_material[#Headers],0))</f>
        <v>#N/A</v>
      </c>
      <c r="M112" s="1"/>
      <c r="N112" s="1"/>
      <c r="O112" s="38" t="e">
        <f>INDEX(tbl_material[],MATCH(O$13,tbl_material[material],0),MATCH(RP_concrete!$C$112,tbl_material[#Headers],0))</f>
        <v>#N/A</v>
      </c>
      <c r="P112" s="1"/>
      <c r="Q112" s="1"/>
      <c r="R112" s="38" t="e">
        <f>INDEX(tbl_material[],MATCH(R$13,tbl_material[material],0),MATCH(RP_concrete!$C$112,tbl_material[#Headers],0))</f>
        <v>#N/A</v>
      </c>
      <c r="S112" s="1"/>
      <c r="T112" s="1"/>
    </row>
    <row r="113" spans="1:20" customFormat="1" ht="14.5" customHeight="1" x14ac:dyDescent="0.55000000000000004">
      <c r="A113" s="94"/>
      <c r="B113" s="92"/>
      <c r="C113" s="1" t="s">
        <v>58</v>
      </c>
      <c r="D113" s="1" t="s">
        <v>25</v>
      </c>
      <c r="E113" s="46" t="s">
        <v>2</v>
      </c>
      <c r="F113" s="15">
        <f>F111*F112</f>
        <v>1</v>
      </c>
      <c r="G113" s="15"/>
      <c r="H113" s="15"/>
      <c r="I113" s="15">
        <f>I111*I112</f>
        <v>1</v>
      </c>
      <c r="J113" s="15"/>
      <c r="K113" s="15"/>
      <c r="L113" s="15" t="e">
        <f>L111*L112</f>
        <v>#N/A</v>
      </c>
      <c r="M113" s="15"/>
      <c r="N113" s="15"/>
      <c r="O113" s="15" t="e">
        <f>O111*O112</f>
        <v>#N/A</v>
      </c>
      <c r="P113" s="15"/>
      <c r="Q113" s="15"/>
      <c r="R113" s="15" t="e">
        <f>R111*R112</f>
        <v>#N/A</v>
      </c>
      <c r="S113" s="15"/>
      <c r="T113" s="15"/>
    </row>
    <row r="114" spans="1:20" customFormat="1" ht="14.5" customHeight="1" x14ac:dyDescent="0.55000000000000004">
      <c r="A114" s="94"/>
      <c r="B114" s="92"/>
      <c r="C114" s="1" t="s">
        <v>23</v>
      </c>
      <c r="D114" s="1" t="s">
        <v>25</v>
      </c>
      <c r="E114" s="46" t="s">
        <v>2</v>
      </c>
      <c r="F114" s="15">
        <f>F111*(1+F112)</f>
        <v>6</v>
      </c>
      <c r="G114" s="15"/>
      <c r="H114" s="15"/>
      <c r="I114" s="15">
        <f>I111*(1+I112)</f>
        <v>6</v>
      </c>
      <c r="J114" s="15"/>
      <c r="K114" s="15"/>
      <c r="L114" s="15" t="e">
        <f>L111*(1+L112)</f>
        <v>#N/A</v>
      </c>
      <c r="M114" s="15"/>
      <c r="N114" s="15"/>
      <c r="O114" s="15" t="e">
        <f>O111*(1+O112)</f>
        <v>#N/A</v>
      </c>
      <c r="P114" s="15"/>
      <c r="Q114" s="15"/>
      <c r="R114" s="15" t="e">
        <f>R111*(1+R112)</f>
        <v>#N/A</v>
      </c>
      <c r="S114" s="15"/>
      <c r="T114" s="15"/>
    </row>
    <row r="115" spans="1:20" customFormat="1" ht="14.5" customHeight="1" x14ac:dyDescent="0.55000000000000004">
      <c r="A115" s="94"/>
      <c r="B115" s="1"/>
      <c r="C115" s="1"/>
      <c r="D115" s="1"/>
      <c r="E115" s="4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customFormat="1" ht="14.5" customHeight="1" x14ac:dyDescent="0.55000000000000004">
      <c r="A116" s="94"/>
      <c r="B116" s="92"/>
      <c r="C116" s="1" t="s">
        <v>8</v>
      </c>
      <c r="D116" s="1" t="s">
        <v>59</v>
      </c>
      <c r="E116" s="46" t="s">
        <v>1</v>
      </c>
      <c r="F116" s="38">
        <f>INDEX(tbl_material[],MATCH(F$13,tbl_material[material],0),MATCH(RP_concrete!$C$116,tbl_material[#Headers],0))</f>
        <v>1</v>
      </c>
      <c r="G116" s="23"/>
      <c r="H116" s="23"/>
      <c r="I116" s="38">
        <f>INDEX(tbl_material[],MATCH(I$13,tbl_material[material],0),MATCH(RP_concrete!$C$116,tbl_material[#Headers],0))</f>
        <v>1</v>
      </c>
      <c r="J116" s="23"/>
      <c r="K116" s="23"/>
      <c r="L116" s="38" t="e">
        <f>INDEX(tbl_material[],MATCH(L$13,tbl_material[material],0),MATCH(RP_concrete!$C$116,tbl_material[#Headers],0))</f>
        <v>#N/A</v>
      </c>
      <c r="M116" s="23"/>
      <c r="N116" s="23"/>
      <c r="O116" s="38" t="e">
        <f>INDEX(tbl_material[],MATCH(O$13,tbl_material[material],0),MATCH(RP_concrete!$C$116,tbl_material[#Headers],0))</f>
        <v>#N/A</v>
      </c>
      <c r="P116" s="23"/>
      <c r="Q116" s="23"/>
      <c r="R116" s="38" t="e">
        <f>INDEX(tbl_material[],MATCH(R$13,tbl_material[material],0),MATCH(RP_concrete!$C$116,tbl_material[#Headers],0))</f>
        <v>#N/A</v>
      </c>
      <c r="S116" s="23"/>
      <c r="T116" s="23"/>
    </row>
    <row r="117" spans="1:20" customFormat="1" ht="14.5" customHeight="1" x14ac:dyDescent="0.55000000000000004">
      <c r="A117" s="94"/>
      <c r="B117" s="92"/>
      <c r="C117" s="1" t="s">
        <v>9</v>
      </c>
      <c r="D117" s="1" t="s">
        <v>60</v>
      </c>
      <c r="E117" s="46" t="s">
        <v>1</v>
      </c>
      <c r="F117" s="38">
        <f>INDEX(tbl_material[],MATCH(F$13,tbl_material[material],0),MATCH(RP_concrete!$C$117,tbl_material[#Headers],0))</f>
        <v>0</v>
      </c>
      <c r="G117" s="4"/>
      <c r="H117" s="4"/>
      <c r="I117" s="38">
        <f>INDEX(tbl_material[],MATCH(I$13,tbl_material[material],0),MATCH(RP_concrete!$C$117,tbl_material[#Headers],0))</f>
        <v>0</v>
      </c>
      <c r="J117" s="4"/>
      <c r="K117" s="4"/>
      <c r="L117" s="38" t="e">
        <f>INDEX(tbl_material[],MATCH(L$13,tbl_material[material],0),MATCH(RP_concrete!$C$117,tbl_material[#Headers],0))</f>
        <v>#N/A</v>
      </c>
      <c r="M117" s="4"/>
      <c r="N117" s="4"/>
      <c r="O117" s="38" t="e">
        <f>INDEX(tbl_material[],MATCH(O$13,tbl_material[material],0),MATCH(RP_concrete!$C$117,tbl_material[#Headers],0))</f>
        <v>#N/A</v>
      </c>
      <c r="P117" s="4"/>
      <c r="Q117" s="4"/>
      <c r="R117" s="38" t="e">
        <f>INDEX(tbl_material[],MATCH(R$13,tbl_material[material],0),MATCH(RP_concrete!$C$117,tbl_material[#Headers],0))</f>
        <v>#N/A</v>
      </c>
      <c r="S117" s="4"/>
      <c r="T117" s="4"/>
    </row>
    <row r="118" spans="1:20" customFormat="1" ht="14.5" customHeight="1" x14ac:dyDescent="0.55000000000000004">
      <c r="A118" s="94"/>
      <c r="B118" s="92"/>
      <c r="C118" s="1" t="s">
        <v>62</v>
      </c>
      <c r="D118" s="1" t="s">
        <v>60</v>
      </c>
      <c r="E118" s="46" t="s">
        <v>1</v>
      </c>
      <c r="F118" s="38">
        <f>INDEX(tbl_material[],MATCH(F$13,tbl_material[material],0),MATCH(RP_concrete!$C$118,tbl_material[#Headers],0))</f>
        <v>0.5</v>
      </c>
      <c r="G118" s="4"/>
      <c r="H118" s="4"/>
      <c r="I118" s="38">
        <f>INDEX(tbl_material[],MATCH(I$13,tbl_material[material],0),MATCH(RP_concrete!$C$118,tbl_material[#Headers],0))</f>
        <v>0.5</v>
      </c>
      <c r="J118" s="4"/>
      <c r="K118" s="4"/>
      <c r="L118" s="38" t="e">
        <f>INDEX(tbl_material[],MATCH(L$13,tbl_material[material],0),MATCH(RP_concrete!$C$118,tbl_material[#Headers],0))</f>
        <v>#N/A</v>
      </c>
      <c r="M118" s="4"/>
      <c r="N118" s="4"/>
      <c r="O118" s="38" t="e">
        <f>INDEX(tbl_material[],MATCH(O$13,tbl_material[material],0),MATCH(RP_concrete!$C$118,tbl_material[#Headers],0))</f>
        <v>#N/A</v>
      </c>
      <c r="P118" s="4"/>
      <c r="Q118" s="4"/>
      <c r="R118" s="38" t="e">
        <f>INDEX(tbl_material[],MATCH(R$13,tbl_material[material],0),MATCH(RP_concrete!$C$118,tbl_material[#Headers],0))</f>
        <v>#N/A</v>
      </c>
      <c r="S118" s="4"/>
      <c r="T118" s="4"/>
    </row>
    <row r="119" spans="1:20" customFormat="1" ht="14.5" customHeight="1" x14ac:dyDescent="0.55000000000000004">
      <c r="A119" s="94"/>
      <c r="B119" s="92"/>
      <c r="C119" s="1" t="s">
        <v>22</v>
      </c>
      <c r="D119" s="1" t="s">
        <v>60</v>
      </c>
      <c r="E119" s="46" t="s">
        <v>1</v>
      </c>
      <c r="F119" s="4">
        <f>1-F116+F116*(1-F117-F118)</f>
        <v>0.5</v>
      </c>
      <c r="G119" s="23"/>
      <c r="H119" s="23"/>
      <c r="I119" s="4">
        <f>1-I116+I116*(1-I117-I118)</f>
        <v>0.5</v>
      </c>
      <c r="J119" s="23"/>
      <c r="K119" s="23"/>
      <c r="L119" s="4" t="e">
        <f>1-L116+L116*(1-L117-L118)</f>
        <v>#N/A</v>
      </c>
      <c r="M119" s="23"/>
      <c r="N119" s="23"/>
      <c r="O119" s="4" t="e">
        <f>1-O116+O116*(1-O117-O118)</f>
        <v>#N/A</v>
      </c>
      <c r="P119" s="23"/>
      <c r="Q119" s="23"/>
      <c r="R119" s="4" t="e">
        <f>1-R116+R116*(1-R117-R118)</f>
        <v>#N/A</v>
      </c>
      <c r="S119" s="23"/>
      <c r="T119" s="23"/>
    </row>
    <row r="120" spans="1:20" customFormat="1" ht="14.5" customHeight="1" x14ac:dyDescent="0.55000000000000004">
      <c r="A120" s="94"/>
      <c r="B120" s="1"/>
      <c r="C120" s="1"/>
      <c r="D120" s="1"/>
      <c r="E120" s="46"/>
      <c r="F120" s="4"/>
      <c r="G120" s="1"/>
      <c r="H120" s="1"/>
      <c r="I120" s="4"/>
      <c r="J120" s="1"/>
      <c r="K120" s="1"/>
      <c r="L120" s="4"/>
      <c r="M120" s="1"/>
      <c r="N120" s="1"/>
      <c r="O120" s="4"/>
      <c r="P120" s="1"/>
      <c r="Q120" s="1"/>
      <c r="R120" s="4"/>
      <c r="S120" s="1"/>
      <c r="T120" s="1"/>
    </row>
    <row r="121" spans="1:20" customFormat="1" ht="14.5" customHeight="1" x14ac:dyDescent="0.55000000000000004">
      <c r="A121" s="94"/>
      <c r="B121" s="92"/>
      <c r="C121" s="1" t="s">
        <v>8</v>
      </c>
      <c r="D121" s="1" t="s">
        <v>20</v>
      </c>
      <c r="E121" s="46" t="s">
        <v>1</v>
      </c>
      <c r="F121" s="38">
        <f>INDEX(tbl_material[],MATCH(F$13,tbl_material[material],0),MATCH(RP_concrete!$F$6,tbl_material[#Headers],0))</f>
        <v>1</v>
      </c>
      <c r="G121" s="4"/>
      <c r="H121" s="4"/>
      <c r="I121" s="38">
        <f>INDEX(tbl_material[],MATCH(I$13,tbl_material[material],0),MATCH(RP_concrete!$I$6,tbl_material[#Headers],0))</f>
        <v>1</v>
      </c>
      <c r="J121" s="4"/>
      <c r="K121" s="4"/>
      <c r="L121" s="38" t="e">
        <f>INDEX(tbl_material[],MATCH(L$13,tbl_material[material],0),MATCH(RP_concrete!$I$6,tbl_material[#Headers],0))</f>
        <v>#N/A</v>
      </c>
      <c r="M121" s="4"/>
      <c r="N121" s="4"/>
      <c r="O121" s="38" t="e">
        <f>INDEX(tbl_material[],MATCH(O$13,tbl_material[material],0),MATCH(RP_concrete!$I$6,tbl_material[#Headers],0))</f>
        <v>#N/A</v>
      </c>
      <c r="P121" s="4"/>
      <c r="Q121" s="4"/>
      <c r="R121" s="38" t="e">
        <f>INDEX(tbl_material[],MATCH(R$13,tbl_material[material],0),MATCH(RP_concrete!$I$6,tbl_material[#Headers],0))</f>
        <v>#N/A</v>
      </c>
      <c r="S121" s="4"/>
      <c r="T121" s="4"/>
    </row>
    <row r="122" spans="1:20" customFormat="1" ht="14.5" customHeight="1" x14ac:dyDescent="0.55000000000000004">
      <c r="A122" s="94"/>
      <c r="B122" s="92"/>
      <c r="C122" s="1" t="s">
        <v>9</v>
      </c>
      <c r="D122" s="1" t="s">
        <v>63</v>
      </c>
      <c r="E122" s="46" t="s">
        <v>1</v>
      </c>
      <c r="F122" s="38">
        <f>INDEX(tbl_material[],MATCH(F$13,tbl_material[material],0),MATCH(RP_concrete!$F$7,tbl_material[#Headers],0))</f>
        <v>0</v>
      </c>
      <c r="G122" s="23"/>
      <c r="H122" s="23"/>
      <c r="I122" s="38">
        <f>INDEX(tbl_material[],MATCH(I$13,tbl_material[material],0),MATCH(RP_concrete!$I$7,tbl_material[#Headers],0))</f>
        <v>0</v>
      </c>
      <c r="J122" s="23"/>
      <c r="K122" s="23"/>
      <c r="L122" s="38" t="e">
        <f>INDEX(tbl_material[],MATCH(L$13,tbl_material[material],0),MATCH(RP_concrete!$I$7,tbl_material[#Headers],0))</f>
        <v>#N/A</v>
      </c>
      <c r="M122" s="23"/>
      <c r="N122" s="23"/>
      <c r="O122" s="38" t="e">
        <f>INDEX(tbl_material[],MATCH(O$13,tbl_material[material],0),MATCH(RP_concrete!$I$7,tbl_material[#Headers],0))</f>
        <v>#N/A</v>
      </c>
      <c r="P122" s="23"/>
      <c r="Q122" s="23"/>
      <c r="R122" s="38" t="e">
        <f>INDEX(tbl_material[],MATCH(R$13,tbl_material[material],0),MATCH(RP_concrete!$I$7,tbl_material[#Headers],0))</f>
        <v>#N/A</v>
      </c>
      <c r="S122" s="23"/>
      <c r="T122" s="23"/>
    </row>
    <row r="123" spans="1:20" customFormat="1" ht="14.5" customHeight="1" x14ac:dyDescent="0.55000000000000004">
      <c r="A123" s="94"/>
      <c r="B123" s="92"/>
      <c r="C123" s="1" t="s">
        <v>21</v>
      </c>
      <c r="D123" s="1" t="s">
        <v>63</v>
      </c>
      <c r="E123" s="46" t="s">
        <v>1</v>
      </c>
      <c r="F123" s="38">
        <f>INDEX(tbl_material[],MATCH(F$13,tbl_material[material],0),MATCH(RP_concrete!$F$8,tbl_material[#Headers],0))</f>
        <v>0.1</v>
      </c>
      <c r="G123" s="23"/>
      <c r="H123" s="23"/>
      <c r="I123" s="38">
        <f>INDEX(tbl_material[],MATCH(I$13,tbl_material[material],0),MATCH(RP_concrete!$I$8,tbl_material[#Headers],0))</f>
        <v>0.2</v>
      </c>
      <c r="J123" s="23"/>
      <c r="K123" s="23"/>
      <c r="L123" s="38" t="e">
        <f>INDEX(tbl_material[],MATCH(L$13,tbl_material[material],0),MATCH(RP_concrete!$I$8,tbl_material[#Headers],0))</f>
        <v>#N/A</v>
      </c>
      <c r="M123" s="23"/>
      <c r="N123" s="23"/>
      <c r="O123" s="38" t="e">
        <f>INDEX(tbl_material[],MATCH(O$13,tbl_material[material],0),MATCH(RP_concrete!$I$8,tbl_material[#Headers],0))</f>
        <v>#N/A</v>
      </c>
      <c r="P123" s="23"/>
      <c r="Q123" s="23"/>
      <c r="R123" s="38" t="e">
        <f>INDEX(tbl_material[],MATCH(R$13,tbl_material[material],0),MATCH(RP_concrete!$I$8,tbl_material[#Headers],0))</f>
        <v>#N/A</v>
      </c>
      <c r="S123" s="23"/>
      <c r="T123" s="23"/>
    </row>
    <row r="124" spans="1:20" customFormat="1" ht="14.5" customHeight="1" x14ac:dyDescent="0.55000000000000004">
      <c r="A124" s="94"/>
      <c r="B124" s="92"/>
      <c r="C124" s="1" t="s">
        <v>22</v>
      </c>
      <c r="D124" s="1" t="s">
        <v>63</v>
      </c>
      <c r="E124" s="46" t="s">
        <v>1</v>
      </c>
      <c r="F124" s="4">
        <f>1-F121+F121*(1-F122-F123)</f>
        <v>0.9</v>
      </c>
      <c r="G124" s="4"/>
      <c r="H124" s="4"/>
      <c r="I124" s="4">
        <f>1-I121+I121*(1-I122-I123)</f>
        <v>0.8</v>
      </c>
      <c r="J124" s="4"/>
      <c r="K124" s="4"/>
      <c r="L124" s="4" t="e">
        <f>1-L121+L121*(1-L122-L123)</f>
        <v>#N/A</v>
      </c>
      <c r="M124" s="4"/>
      <c r="N124" s="4"/>
      <c r="O124" s="4" t="e">
        <f>1-O121+O121*(1-O122-O123)</f>
        <v>#N/A</v>
      </c>
      <c r="P124" s="4"/>
      <c r="Q124" s="4"/>
      <c r="R124" s="4" t="e">
        <f>1-R121+R121*(1-R122-R123)</f>
        <v>#N/A</v>
      </c>
      <c r="S124" s="4"/>
      <c r="T124" s="4"/>
    </row>
    <row r="125" spans="1:20" customFormat="1" ht="14.5" customHeight="1" x14ac:dyDescent="0.55000000000000004">
      <c r="A125" s="94"/>
      <c r="B125" s="1"/>
      <c r="C125" s="1"/>
      <c r="D125" s="1"/>
      <c r="E125" s="4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customFormat="1" ht="14.5" customHeight="1" x14ac:dyDescent="0.55000000000000004">
      <c r="A126" s="94"/>
      <c r="B126" s="92"/>
      <c r="C126" s="1" t="s">
        <v>5</v>
      </c>
      <c r="D126" s="1" t="s">
        <v>35</v>
      </c>
      <c r="E126" s="46" t="s">
        <v>1</v>
      </c>
      <c r="F126" s="11">
        <f>(F116*F117*F112+F121*F122)/(1+F112)</f>
        <v>0</v>
      </c>
      <c r="G126" s="11"/>
      <c r="H126" s="11"/>
      <c r="I126" s="11">
        <f>(I116*I117*I112+I121*I122)/(1+I112)</f>
        <v>0</v>
      </c>
      <c r="J126" s="11"/>
      <c r="K126" s="11"/>
      <c r="L126" s="11" t="e">
        <f>(L116*L117*L112+L121*L122)/(1+L112)</f>
        <v>#N/A</v>
      </c>
      <c r="M126" s="11"/>
      <c r="N126" s="11"/>
      <c r="O126" s="11" t="e">
        <f>(O116*O117*O112+O121*O122)/(1+O112)</f>
        <v>#N/A</v>
      </c>
      <c r="P126" s="11"/>
      <c r="Q126" s="11"/>
      <c r="R126" s="11" t="e">
        <f>(R116*R117*R112+R121*R122)/(1+R112)</f>
        <v>#N/A</v>
      </c>
      <c r="S126" s="11"/>
      <c r="T126" s="11"/>
    </row>
    <row r="127" spans="1:20" customFormat="1" ht="14.5" customHeight="1" x14ac:dyDescent="0.55000000000000004">
      <c r="A127" s="94"/>
      <c r="B127" s="92"/>
      <c r="C127" s="1" t="s">
        <v>4</v>
      </c>
      <c r="D127" s="1" t="s">
        <v>35</v>
      </c>
      <c r="E127" s="46" t="s">
        <v>1</v>
      </c>
      <c r="F127" s="11">
        <f>(F116*F118*F112+F121*F123)/(1+F112)</f>
        <v>0.16666666666666669</v>
      </c>
      <c r="G127" s="11"/>
      <c r="H127" s="11"/>
      <c r="I127" s="11">
        <f>(I116*I118*I112+I121*I123)/(1+I112)</f>
        <v>0.25000000000000006</v>
      </c>
      <c r="J127" s="11"/>
      <c r="K127" s="11"/>
      <c r="L127" s="11" t="e">
        <f>(L116*L118*L112+L121*L123)/(1+L112)</f>
        <v>#N/A</v>
      </c>
      <c r="M127" s="11"/>
      <c r="N127" s="11"/>
      <c r="O127" s="11" t="e">
        <f>(O116*O118*O112+O121*O123)/(1+O112)</f>
        <v>#N/A</v>
      </c>
      <c r="P127" s="11"/>
      <c r="Q127" s="11"/>
      <c r="R127" s="11" t="e">
        <f>(R116*R118*R112+R121*R123)/(1+R112)</f>
        <v>#N/A</v>
      </c>
      <c r="S127" s="11"/>
      <c r="T127" s="11"/>
    </row>
    <row r="128" spans="1:20" customFormat="1" ht="14.5" customHeight="1" x14ac:dyDescent="0.55000000000000004">
      <c r="A128" s="94"/>
      <c r="B128" s="92"/>
      <c r="C128" s="1" t="s">
        <v>6</v>
      </c>
      <c r="D128" s="1" t="s">
        <v>35</v>
      </c>
      <c r="E128" s="46" t="s">
        <v>1</v>
      </c>
      <c r="F128" s="4">
        <f>1-F126-F127</f>
        <v>0.83333333333333326</v>
      </c>
      <c r="G128" s="4"/>
      <c r="H128" s="4"/>
      <c r="I128" s="4">
        <f>1-I126-I127</f>
        <v>0.75</v>
      </c>
      <c r="J128" s="4"/>
      <c r="K128" s="4"/>
      <c r="L128" s="4" t="e">
        <f>1-L126-L127</f>
        <v>#N/A</v>
      </c>
      <c r="M128" s="4"/>
      <c r="N128" s="4"/>
      <c r="O128" s="4" t="e">
        <f>1-O126-O127</f>
        <v>#N/A</v>
      </c>
      <c r="P128" s="4"/>
      <c r="Q128" s="4"/>
      <c r="R128" s="4" t="e">
        <f>1-R126-R127</f>
        <v>#N/A</v>
      </c>
      <c r="S128" s="4"/>
      <c r="T128" s="4"/>
    </row>
    <row r="129" spans="1:20" customFormat="1" ht="14.5" customHeight="1" x14ac:dyDescent="0.55000000000000004">
      <c r="A129" s="94"/>
      <c r="B129" s="1"/>
      <c r="C129" s="1"/>
      <c r="D129" s="1"/>
      <c r="E129" s="4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customFormat="1" ht="14.5" customHeight="1" x14ac:dyDescent="0.65">
      <c r="A130" s="94"/>
      <c r="B130" s="9" t="s">
        <v>31</v>
      </c>
      <c r="C130" s="3" t="s">
        <v>43</v>
      </c>
      <c r="D130" s="1" t="s">
        <v>39</v>
      </c>
      <c r="E130" s="25" t="s">
        <v>1</v>
      </c>
      <c r="F130" s="6">
        <f>(0.5*F111/F106)*(1+F112)*(1/lifetime_concrete)*(1+F108*(1-F126)-F126-F127)</f>
        <v>1.1388866242211697E-12</v>
      </c>
      <c r="G130" s="5"/>
      <c r="H130" s="5"/>
      <c r="I130" s="6">
        <f>(0.5*I111/I106)*(1+I112)*(1/lifetime_concrete)*(1+I108*(1-I126)-I126-I127)</f>
        <v>1.0871190503929348E-12</v>
      </c>
      <c r="J130" s="5"/>
      <c r="K130" s="5"/>
      <c r="L130" s="6" t="e">
        <f>(0.5*L111/L106)*(1+L112)*(1/lifetime_concrete)*(1+L108*(1-L126)-L126-L127)</f>
        <v>#N/A</v>
      </c>
      <c r="M130" s="5"/>
      <c r="N130" s="5"/>
      <c r="O130" s="6" t="e">
        <f>(0.5*O111/O106)*(1+O112)*(1/lifetime_concrete)*(1+O108*(1-O126)-O126-O127)</f>
        <v>#N/A</v>
      </c>
      <c r="P130" s="5"/>
      <c r="Q130" s="5"/>
      <c r="R130" s="6" t="e">
        <f>(0.5*R111/R106)*(1+R112)*(1/lifetime_concrete)*(1+R108*(1-R126)-R126-R127)</f>
        <v>#N/A</v>
      </c>
      <c r="S130" s="5"/>
      <c r="T130" s="5"/>
    </row>
    <row r="131" spans="1:20" customFormat="1" ht="14.5" customHeight="1" x14ac:dyDescent="0.55000000000000004">
      <c r="A131" s="1"/>
      <c r="B131" s="1"/>
      <c r="C131" s="1"/>
      <c r="D131" s="1"/>
      <c r="E131" s="4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customFormat="1" ht="14.5" customHeight="1" x14ac:dyDescent="0.65">
      <c r="A132" s="53"/>
      <c r="B132" s="9"/>
      <c r="C132" s="3"/>
      <c r="D132" s="1"/>
      <c r="E132" s="25"/>
      <c r="F132" s="6"/>
      <c r="G132" s="5"/>
      <c r="H132" s="5"/>
      <c r="I132" s="6"/>
      <c r="J132" s="5"/>
      <c r="K132" s="5"/>
      <c r="L132" s="6"/>
      <c r="M132" s="5"/>
      <c r="N132" s="5"/>
      <c r="O132" s="6"/>
      <c r="P132" s="5"/>
      <c r="Q132" s="5"/>
      <c r="R132" s="6"/>
      <c r="S132" s="5"/>
      <c r="T132" s="5"/>
    </row>
    <row r="133" spans="1:20" customFormat="1" x14ac:dyDescent="0.55000000000000004">
      <c r="A133" s="88" t="s">
        <v>41</v>
      </c>
      <c r="B133" s="46" t="s">
        <v>50</v>
      </c>
      <c r="C133" s="1" t="s">
        <v>41</v>
      </c>
      <c r="D133" s="1"/>
      <c r="E133" s="46"/>
      <c r="F133" s="1"/>
      <c r="G133" s="1" t="s">
        <v>67</v>
      </c>
      <c r="H133" s="1"/>
      <c r="I133" s="1"/>
      <c r="J133" s="1" t="s">
        <v>67</v>
      </c>
      <c r="K133" s="1"/>
      <c r="L133" s="1"/>
      <c r="M133" s="1" t="s">
        <v>67</v>
      </c>
      <c r="N133" s="1"/>
      <c r="O133" s="1"/>
      <c r="P133" s="1" t="s">
        <v>67</v>
      </c>
      <c r="Q133" s="1"/>
      <c r="R133" s="1"/>
      <c r="S133" s="1" t="s">
        <v>67</v>
      </c>
      <c r="T133" s="1"/>
    </row>
    <row r="134" spans="1:20" customFormat="1" x14ac:dyDescent="0.55000000000000004">
      <c r="A134" s="88"/>
      <c r="B134" s="25" t="s">
        <v>10</v>
      </c>
      <c r="C134" s="1" t="s">
        <v>26</v>
      </c>
      <c r="D134" s="1" t="s">
        <v>110</v>
      </c>
      <c r="E134" s="46" t="s">
        <v>48</v>
      </c>
      <c r="F134" s="5">
        <f>VLOOKUP($D134,tbl_ERP[],7,0)</f>
        <v>756806038323.21313</v>
      </c>
      <c r="G134" s="38">
        <f>INDEX(tbl_electricity[],MATCH($D$134,tbl_electricity[ERP identifier],0),MATCH(RP_concrete!F$14,tbl_electricity[#Headers],0))</f>
        <v>0</v>
      </c>
      <c r="H134" s="1"/>
      <c r="I134" s="5">
        <f>VLOOKUP($D134,tbl_ERP[],7,0)</f>
        <v>756806038323.21313</v>
      </c>
      <c r="J134" s="38">
        <f>INDEX(tbl_electricity[],MATCH($D$134,tbl_electricity[ERP identifier],0),MATCH(RP_concrete!I$14,tbl_electricity[#Headers],0))</f>
        <v>0</v>
      </c>
      <c r="K134" s="1"/>
      <c r="L134" s="5">
        <f>VLOOKUP($D134,tbl_ERP[],7,0)</f>
        <v>756806038323.21313</v>
      </c>
      <c r="M134" s="38" t="e">
        <f>INDEX(tbl_electricity[],MATCH($D$134,tbl_electricity[ERP identifier],0),MATCH(RP_concrete!L$14,tbl_electricity[#Headers],0))</f>
        <v>#N/A</v>
      </c>
      <c r="N134" s="1"/>
      <c r="O134" s="5">
        <f>VLOOKUP($D134,tbl_ERP[],7,0)</f>
        <v>756806038323.21313</v>
      </c>
      <c r="P134" s="38" t="e">
        <f>INDEX(tbl_electricity[],MATCH($D$134,tbl_electricity[ERP identifier],0),MATCH(RP_concrete!O$14,tbl_electricity[#Headers],0))</f>
        <v>#N/A</v>
      </c>
      <c r="Q134" s="1"/>
      <c r="R134" s="5">
        <f>VLOOKUP($D134,tbl_ERP[],7,0)</f>
        <v>756806038323.21313</v>
      </c>
      <c r="S134" s="38" t="e">
        <f>INDEX(tbl_electricity[],MATCH($D$134,tbl_electricity[ERP identifier],0),MATCH(RP_concrete!R$14,tbl_electricity[#Headers],0))</f>
        <v>#N/A</v>
      </c>
      <c r="T134" s="1"/>
    </row>
    <row r="135" spans="1:20" customFormat="1" x14ac:dyDescent="0.55000000000000004">
      <c r="A135" s="88"/>
      <c r="B135" s="25"/>
      <c r="C135" s="1"/>
      <c r="D135" s="1" t="s">
        <v>111</v>
      </c>
      <c r="E135" s="46" t="s">
        <v>48</v>
      </c>
      <c r="F135" s="5">
        <f>VLOOKUP($D135,tbl_ERP[],7,0)</f>
        <v>880208103798.97388</v>
      </c>
      <c r="G135" s="38">
        <f>INDEX(tbl_electricity[],MATCH($D$135,tbl_electricity[ERP identifier],0),MATCH(RP_concrete!F$14,tbl_electricity[#Headers],0))</f>
        <v>0</v>
      </c>
      <c r="H135" s="1"/>
      <c r="I135" s="5">
        <f>VLOOKUP($D135,tbl_ERP[],7,0)</f>
        <v>880208103798.97388</v>
      </c>
      <c r="J135" s="38">
        <f>INDEX(tbl_electricity[],MATCH($D$135,tbl_electricity[ERP identifier],0),MATCH(RP_concrete!I$14,tbl_electricity[#Headers],0))</f>
        <v>0</v>
      </c>
      <c r="K135" s="1"/>
      <c r="L135" s="5">
        <f>VLOOKUP($D135,tbl_ERP[],7,0)</f>
        <v>880208103798.97388</v>
      </c>
      <c r="M135" s="38" t="e">
        <f>INDEX(tbl_electricity[],MATCH($D$135,tbl_electricity[ERP identifier],0),MATCH(RP_concrete!L$14,tbl_electricity[#Headers],0))</f>
        <v>#N/A</v>
      </c>
      <c r="N135" s="1"/>
      <c r="O135" s="5">
        <f>VLOOKUP($D135,tbl_ERP[],7,0)</f>
        <v>880208103798.97388</v>
      </c>
      <c r="P135" s="38" t="e">
        <f>INDEX(tbl_electricity[],MATCH($D$135,tbl_electricity[ERP identifier],0),MATCH(RP_concrete!O$14,tbl_electricity[#Headers],0))</f>
        <v>#N/A</v>
      </c>
      <c r="Q135" s="1"/>
      <c r="R135" s="5">
        <f>VLOOKUP($D135,tbl_ERP[],7,0)</f>
        <v>880208103798.97388</v>
      </c>
      <c r="S135" s="38" t="e">
        <f>INDEX(tbl_electricity[],MATCH($D$135,tbl_electricity[ERP identifier],0),MATCH(RP_concrete!R$14,tbl_electricity[#Headers],0))</f>
        <v>#N/A</v>
      </c>
      <c r="T135" s="1"/>
    </row>
    <row r="136" spans="1:20" customFormat="1" x14ac:dyDescent="0.55000000000000004">
      <c r="A136" s="88"/>
      <c r="B136" s="25"/>
      <c r="C136" s="1"/>
      <c r="D136" s="1" t="s">
        <v>112</v>
      </c>
      <c r="E136" s="46" t="s">
        <v>48</v>
      </c>
      <c r="F136" s="5">
        <f>VLOOKUP($D136,tbl_ERP[],7,0)</f>
        <v>1421033763401.1748</v>
      </c>
      <c r="G136" s="38">
        <f>INDEX(tbl_electricity[],MATCH($D$136,tbl_electricity[ERP identifier],0),MATCH(RP_concrete!F$14,tbl_electricity[#Headers],0))</f>
        <v>1.9E-2</v>
      </c>
      <c r="H136" s="1"/>
      <c r="I136" s="5">
        <f>VLOOKUP($D136,tbl_ERP[],7,0)</f>
        <v>1421033763401.1748</v>
      </c>
      <c r="J136" s="38">
        <f>INDEX(tbl_electricity[],MATCH($D$136,tbl_electricity[ERP identifier],0),MATCH(RP_concrete!I$14,tbl_electricity[#Headers],0))</f>
        <v>1.9E-2</v>
      </c>
      <c r="K136" s="1"/>
      <c r="L136" s="5">
        <f>VLOOKUP($D136,tbl_ERP[],7,0)</f>
        <v>1421033763401.1748</v>
      </c>
      <c r="M136" s="38" t="e">
        <f>INDEX(tbl_electricity[],MATCH($D$136,tbl_electricity[ERP identifier],0),MATCH(RP_concrete!L$14,tbl_electricity[#Headers],0))</f>
        <v>#N/A</v>
      </c>
      <c r="N136" s="1"/>
      <c r="O136" s="5">
        <f>VLOOKUP($D136,tbl_ERP[],7,0)</f>
        <v>1421033763401.1748</v>
      </c>
      <c r="P136" s="38" t="e">
        <f>INDEX(tbl_electricity[],MATCH($D$136,tbl_electricity[ERP identifier],0),MATCH(RP_concrete!O$14,tbl_electricity[#Headers],0))</f>
        <v>#N/A</v>
      </c>
      <c r="Q136" s="1"/>
      <c r="R136" s="5">
        <f>VLOOKUP($D136,tbl_ERP[],7,0)</f>
        <v>1421033763401.1748</v>
      </c>
      <c r="S136" s="38" t="e">
        <f>INDEX(tbl_electricity[],MATCH($D$136,tbl_electricity[ERP identifier],0),MATCH(RP_concrete!R$14,tbl_electricity[#Headers],0))</f>
        <v>#N/A</v>
      </c>
      <c r="T136" s="1"/>
    </row>
    <row r="137" spans="1:20" customFormat="1" x14ac:dyDescent="0.55000000000000004">
      <c r="A137" s="88"/>
      <c r="B137" s="25"/>
      <c r="C137" s="1"/>
      <c r="D137" s="1" t="s">
        <v>113</v>
      </c>
      <c r="E137" s="46" t="s">
        <v>48</v>
      </c>
      <c r="F137" s="5">
        <f>VLOOKUP($D137,tbl_ERP[],7,0)</f>
        <v>7031194165791.167</v>
      </c>
      <c r="G137" s="38">
        <f>INDEX(tbl_electricity[],MATCH($D$137,tbl_electricity[ERP identifier],0),MATCH(RP_concrete!F$14,tbl_electricity[#Headers],0))</f>
        <v>0.28899999999999998</v>
      </c>
      <c r="H137" s="1"/>
      <c r="I137" s="5">
        <f>VLOOKUP($D137,tbl_ERP[],7,0)</f>
        <v>7031194165791.167</v>
      </c>
      <c r="J137" s="38">
        <f>INDEX(tbl_electricity[],MATCH($D$137,tbl_electricity[ERP identifier],0),MATCH(RP_concrete!I$14,tbl_electricity[#Headers],0))</f>
        <v>0.28899999999999998</v>
      </c>
      <c r="K137" s="1"/>
      <c r="L137" s="5">
        <f>VLOOKUP($D137,tbl_ERP[],7,0)</f>
        <v>7031194165791.167</v>
      </c>
      <c r="M137" s="38" t="e">
        <f>INDEX(tbl_electricity[],MATCH($D$137,tbl_electricity[ERP identifier],0),MATCH(RP_concrete!L$14,tbl_electricity[#Headers],0))</f>
        <v>#N/A</v>
      </c>
      <c r="N137" s="1"/>
      <c r="O137" s="5">
        <f>VLOOKUP($D137,tbl_ERP[],7,0)</f>
        <v>7031194165791.167</v>
      </c>
      <c r="P137" s="38" t="e">
        <f>INDEX(tbl_electricity[],MATCH($D$137,tbl_electricity[ERP identifier],0),MATCH(RP_concrete!O$14,tbl_electricity[#Headers],0))</f>
        <v>#N/A</v>
      </c>
      <c r="Q137" s="1"/>
      <c r="R137" s="5">
        <f>VLOOKUP($D137,tbl_ERP[],7,0)</f>
        <v>7031194165791.167</v>
      </c>
      <c r="S137" s="38" t="e">
        <f>INDEX(tbl_electricity[],MATCH($D$137,tbl_electricity[ERP identifier],0),MATCH(RP_concrete!R$14,tbl_electricity[#Headers],0))</f>
        <v>#N/A</v>
      </c>
      <c r="T137" s="1"/>
    </row>
    <row r="138" spans="1:20" customFormat="1" x14ac:dyDescent="0.55000000000000004">
      <c r="A138" s="88"/>
      <c r="B138" s="25"/>
      <c r="C138" s="1"/>
      <c r="D138" s="1" t="s">
        <v>114</v>
      </c>
      <c r="E138" s="46" t="s">
        <v>48</v>
      </c>
      <c r="F138" s="5">
        <f>VLOOKUP($D138,tbl_ERP[],7,0)</f>
        <v>1130000000000</v>
      </c>
      <c r="G138" s="38">
        <f>INDEX(tbl_electricity[],MATCH($D$138,tbl_electricity[ERP identifier],0),MATCH(RP_concrete!F$14,tbl_electricity[#Headers],0))</f>
        <v>0.01</v>
      </c>
      <c r="H138" s="1"/>
      <c r="I138" s="5">
        <f>VLOOKUP($D138,tbl_ERP[],7,0)</f>
        <v>1130000000000</v>
      </c>
      <c r="J138" s="38">
        <f>INDEX(tbl_electricity[],MATCH($D$138,tbl_electricity[ERP identifier],0),MATCH(RP_concrete!I$14,tbl_electricity[#Headers],0))</f>
        <v>0.01</v>
      </c>
      <c r="K138" s="1"/>
      <c r="L138" s="5">
        <f>VLOOKUP($D138,tbl_ERP[],7,0)</f>
        <v>1130000000000</v>
      </c>
      <c r="M138" s="38" t="e">
        <f>INDEX(tbl_electricity[],MATCH($D$138,tbl_electricity[ERP identifier],0),MATCH(RP_concrete!L$14,tbl_electricity[#Headers],0))</f>
        <v>#N/A</v>
      </c>
      <c r="N138" s="1"/>
      <c r="O138" s="5">
        <f>VLOOKUP($D138,tbl_ERP[],7,0)</f>
        <v>1130000000000</v>
      </c>
      <c r="P138" s="38" t="e">
        <f>INDEX(tbl_electricity[],MATCH($D$138,tbl_electricity[ERP identifier],0),MATCH(RP_concrete!O$14,tbl_electricity[#Headers],0))</f>
        <v>#N/A</v>
      </c>
      <c r="Q138" s="1"/>
      <c r="R138" s="5">
        <f>VLOOKUP($D138,tbl_ERP[],7,0)</f>
        <v>1130000000000</v>
      </c>
      <c r="S138" s="38" t="e">
        <f>INDEX(tbl_electricity[],MATCH($D$138,tbl_electricity[ERP identifier],0),MATCH(RP_concrete!R$14,tbl_electricity[#Headers],0))</f>
        <v>#N/A</v>
      </c>
      <c r="T138" s="1"/>
    </row>
    <row r="139" spans="1:20" customFormat="1" x14ac:dyDescent="0.55000000000000004">
      <c r="A139" s="88"/>
      <c r="B139" s="25"/>
      <c r="C139" s="1"/>
      <c r="D139" s="1" t="s">
        <v>115</v>
      </c>
      <c r="E139" s="46" t="s">
        <v>48</v>
      </c>
      <c r="F139" s="5">
        <f>VLOOKUP($D139,tbl_ERP[],7,0)</f>
        <v>984000000000</v>
      </c>
      <c r="G139" s="38">
        <f>INDEX(tbl_electricity[],MATCH($D$139,tbl_electricity[ERP identifier],0),MATCH(RP_concrete!F$14,tbl_electricity[#Headers],0))</f>
        <v>0</v>
      </c>
      <c r="H139" s="1"/>
      <c r="I139" s="5">
        <f>VLOOKUP($D139,tbl_ERP[],7,0)</f>
        <v>984000000000</v>
      </c>
      <c r="J139" s="38">
        <f>INDEX(tbl_electricity[],MATCH($D$139,tbl_electricity[ERP identifier],0),MATCH(RP_concrete!I$14,tbl_electricity[#Headers],0))</f>
        <v>0</v>
      </c>
      <c r="K139" s="1"/>
      <c r="L139" s="5">
        <f>VLOOKUP($D139,tbl_ERP[],7,0)</f>
        <v>984000000000</v>
      </c>
      <c r="M139" s="38" t="e">
        <f>INDEX(tbl_electricity[],MATCH($D$139,tbl_electricity[ERP identifier],0),MATCH(RP_concrete!L$14,tbl_electricity[#Headers],0))</f>
        <v>#N/A</v>
      </c>
      <c r="N139" s="1"/>
      <c r="O139" s="5">
        <f>VLOOKUP($D139,tbl_ERP[],7,0)</f>
        <v>984000000000</v>
      </c>
      <c r="P139" s="38" t="e">
        <f>INDEX(tbl_electricity[],MATCH($D$139,tbl_electricity[ERP identifier],0),MATCH(RP_concrete!O$14,tbl_electricity[#Headers],0))</f>
        <v>#N/A</v>
      </c>
      <c r="Q139" s="1"/>
      <c r="R139" s="5">
        <f>VLOOKUP($D139,tbl_ERP[],7,0)</f>
        <v>984000000000</v>
      </c>
      <c r="S139" s="38" t="e">
        <f>INDEX(tbl_electricity[],MATCH($D$139,tbl_electricity[ERP identifier],0),MATCH(RP_concrete!R$14,tbl_electricity[#Headers],0))</f>
        <v>#N/A</v>
      </c>
      <c r="T139" s="1"/>
    </row>
    <row r="140" spans="1:20" customFormat="1" ht="14.5" customHeight="1" x14ac:dyDescent="0.55000000000000004">
      <c r="A140" s="88"/>
      <c r="B140" s="25"/>
      <c r="C140" s="1"/>
      <c r="D140" s="1" t="s">
        <v>279</v>
      </c>
      <c r="E140" s="46" t="s">
        <v>48</v>
      </c>
      <c r="F140" s="5">
        <f>VLOOKUP($D140,tbl_ERP[],7,0)</f>
        <v>2548000000000</v>
      </c>
      <c r="G140" s="38">
        <f>INDEX(tbl_electricity[],MATCH($D$140,tbl_electricity[ERP identifier],0),MATCH(RP_concrete!F$14,tbl_electricity[#Headers],0))</f>
        <v>0</v>
      </c>
      <c r="H140" s="1"/>
      <c r="I140" s="5">
        <f>VLOOKUP($D140,tbl_ERP[],7,0)</f>
        <v>2548000000000</v>
      </c>
      <c r="J140" s="38">
        <f>INDEX(tbl_electricity[],MATCH($D$140,tbl_electricity[ERP identifier],0),MATCH(RP_concrete!I$14,tbl_electricity[#Headers],0))</f>
        <v>0</v>
      </c>
      <c r="K140" s="1"/>
      <c r="L140" s="5">
        <f>VLOOKUP($D140,tbl_ERP[],7,0)</f>
        <v>2548000000000</v>
      </c>
      <c r="M140" s="38" t="e">
        <f>INDEX(tbl_electricity[],MATCH($D$140,tbl_electricity[ERP identifier],0),MATCH(RP_concrete!L$14,tbl_electricity[#Headers],0))</f>
        <v>#N/A</v>
      </c>
      <c r="N140" s="1"/>
      <c r="O140" s="5">
        <f>VLOOKUP($D140,tbl_ERP[],7,0)</f>
        <v>2548000000000</v>
      </c>
      <c r="P140" s="38" t="e">
        <f>INDEX(tbl_electricity[],MATCH($D$140,tbl_electricity[ERP identifier],0),MATCH(RP_concrete!O$14,tbl_electricity[#Headers],0))</f>
        <v>#N/A</v>
      </c>
      <c r="Q140" s="1"/>
      <c r="R140" s="5">
        <f>VLOOKUP($D140,tbl_ERP[],7,0)</f>
        <v>2548000000000</v>
      </c>
      <c r="S140" s="38" t="e">
        <f>INDEX(tbl_electricity[],MATCH($D$140,tbl_electricity[ERP identifier],0),MATCH(RP_concrete!R$14,tbl_electricity[#Headers],0))</f>
        <v>#N/A</v>
      </c>
      <c r="T140" s="1"/>
    </row>
    <row r="141" spans="1:20" x14ac:dyDescent="0.55000000000000004">
      <c r="A141" s="88"/>
      <c r="B141" s="25"/>
      <c r="D141" s="1" t="s">
        <v>116</v>
      </c>
      <c r="E141" s="46" t="s">
        <v>48</v>
      </c>
      <c r="F141" s="5">
        <f>VLOOKUP($D141,tbl_ERP[],7,0)</f>
        <v>1120000000000</v>
      </c>
      <c r="G141" s="38">
        <f>INDEX(tbl_electricity[],MATCH($D$141,tbl_electricity[ERP identifier],0),MATCH(RP_concrete!F$14,tbl_electricity[#Headers],0))</f>
        <v>0.02</v>
      </c>
      <c r="I141" s="5">
        <f>VLOOKUP($D141,tbl_ERP[],7,0)</f>
        <v>1120000000000</v>
      </c>
      <c r="J141" s="38">
        <f>INDEX(tbl_electricity[],MATCH($D$141,tbl_electricity[ERP identifier],0),MATCH(RP_concrete!I$14,tbl_electricity[#Headers],0))</f>
        <v>0.02</v>
      </c>
      <c r="L141" s="5">
        <f>VLOOKUP($D141,tbl_ERP[],7,0)</f>
        <v>1120000000000</v>
      </c>
      <c r="M141" s="38" t="e">
        <f>INDEX(tbl_electricity[],MATCH($D$141,tbl_electricity[ERP identifier],0),MATCH(RP_concrete!L$14,tbl_electricity[#Headers],0))</f>
        <v>#N/A</v>
      </c>
      <c r="O141" s="5">
        <f>VLOOKUP($D141,tbl_ERP[],7,0)</f>
        <v>1120000000000</v>
      </c>
      <c r="P141" s="38" t="e">
        <f>INDEX(tbl_electricity[],MATCH($D$141,tbl_electricity[ERP identifier],0),MATCH(RP_concrete!O$14,tbl_electricity[#Headers],0))</f>
        <v>#N/A</v>
      </c>
      <c r="R141" s="5">
        <f>VLOOKUP($D141,tbl_ERP[],7,0)</f>
        <v>1120000000000</v>
      </c>
      <c r="S141" s="38" t="e">
        <f>INDEX(tbl_electricity[],MATCH($D$141,tbl_electricity[ERP identifier],0),MATCH(RP_concrete!R$14,tbl_electricity[#Headers],0))</f>
        <v>#N/A</v>
      </c>
    </row>
    <row r="142" spans="1:20" x14ac:dyDescent="0.55000000000000004">
      <c r="A142" s="88"/>
      <c r="B142" s="25"/>
      <c r="D142" s="1" t="s">
        <v>117</v>
      </c>
      <c r="E142" s="46" t="s">
        <v>48</v>
      </c>
      <c r="F142" s="5">
        <f>VLOOKUP($D142,tbl_ERP[],7,0)</f>
        <v>3669000000000</v>
      </c>
      <c r="G142" s="38">
        <f>INDEX(tbl_electricity[],MATCH($D$142,tbl_electricity[ERP identifier],0),MATCH(RP_concrete!F$14,tbl_electricity[#Headers],0))</f>
        <v>0.64349999999999996</v>
      </c>
      <c r="I142" s="5">
        <f>VLOOKUP($D142,tbl_ERP[],7,0)</f>
        <v>3669000000000</v>
      </c>
      <c r="J142" s="38">
        <f>INDEX(tbl_electricity[],MATCH($D$142,tbl_electricity[ERP identifier],0),MATCH(RP_concrete!I$14,tbl_electricity[#Headers],0))</f>
        <v>0.64349999999999996</v>
      </c>
      <c r="L142" s="5">
        <f>VLOOKUP($D142,tbl_ERP[],7,0)</f>
        <v>3669000000000</v>
      </c>
      <c r="M142" s="38" t="e">
        <f>INDEX(tbl_electricity[],MATCH($D$142,tbl_electricity[ERP identifier],0),MATCH(RP_concrete!L$14,tbl_electricity[#Headers],0))</f>
        <v>#N/A</v>
      </c>
      <c r="O142" s="5">
        <f>VLOOKUP($D142,tbl_ERP[],7,0)</f>
        <v>3669000000000</v>
      </c>
      <c r="P142" s="38" t="e">
        <f>INDEX(tbl_electricity[],MATCH($D$142,tbl_electricity[ERP identifier],0),MATCH(RP_concrete!O$14,tbl_electricity[#Headers],0))</f>
        <v>#N/A</v>
      </c>
      <c r="R142" s="5">
        <f>VLOOKUP($D142,tbl_ERP[],7,0)</f>
        <v>3669000000000</v>
      </c>
      <c r="S142" s="38" t="e">
        <f>INDEX(tbl_electricity[],MATCH($D$142,tbl_electricity[ERP identifier],0),MATCH(RP_concrete!R$14,tbl_electricity[#Headers],0))</f>
        <v>#N/A</v>
      </c>
    </row>
    <row r="143" spans="1:20" customFormat="1" x14ac:dyDescent="0.55000000000000004">
      <c r="A143" s="88"/>
      <c r="B143" s="25"/>
      <c r="C143" s="1"/>
      <c r="D143" s="1" t="s">
        <v>280</v>
      </c>
      <c r="E143" s="46" t="s">
        <v>48</v>
      </c>
      <c r="F143" s="5">
        <f>VLOOKUP($D143,tbl_ERP[],7,0)</f>
        <v>20237444305392.715</v>
      </c>
      <c r="G143" s="38">
        <f>INDEX(tbl_electricity[],MATCH($D$143,tbl_electricity[ERP identifier],0),MATCH(RP_concrete!F$14,tbl_electricity[#Headers],0))</f>
        <v>0</v>
      </c>
      <c r="H143" s="1"/>
      <c r="I143" s="5">
        <f>VLOOKUP($D143,tbl_ERP[],7,0)</f>
        <v>20237444305392.715</v>
      </c>
      <c r="J143" s="38">
        <f>INDEX(tbl_electricity[],MATCH($D$143,tbl_electricity[ERP identifier],0),MATCH(RP_concrete!I$14,tbl_electricity[#Headers],0))</f>
        <v>0</v>
      </c>
      <c r="K143" s="1"/>
      <c r="L143" s="5">
        <f>VLOOKUP($D143,tbl_ERP[],7,0)</f>
        <v>20237444305392.715</v>
      </c>
      <c r="M143" s="38" t="e">
        <f>INDEX(tbl_electricity[],MATCH($D$143,tbl_electricity[ERP identifier],0),MATCH(RP_concrete!L$14,tbl_electricity[#Headers],0))</f>
        <v>#N/A</v>
      </c>
      <c r="N143" s="1"/>
      <c r="O143" s="5">
        <f>VLOOKUP($D143,tbl_ERP[],7,0)</f>
        <v>20237444305392.715</v>
      </c>
      <c r="P143" s="38" t="e">
        <f>INDEX(tbl_electricity[],MATCH($D$143,tbl_electricity[ERP identifier],0),MATCH(RP_concrete!O$14,tbl_electricity[#Headers],0))</f>
        <v>#N/A</v>
      </c>
      <c r="Q143" s="1"/>
      <c r="R143" s="5">
        <f>VLOOKUP($D143,tbl_ERP[],7,0)</f>
        <v>20237444305392.715</v>
      </c>
      <c r="S143" s="38" t="e">
        <f>INDEX(tbl_electricity[],MATCH($D$143,tbl_electricity[ERP identifier],0),MATCH(RP_concrete!R$14,tbl_electricity[#Headers],0))</f>
        <v>#N/A</v>
      </c>
      <c r="T143" s="1"/>
    </row>
    <row r="144" spans="1:20" customFormat="1" x14ac:dyDescent="0.55000000000000004">
      <c r="A144" s="88"/>
      <c r="B144" s="25"/>
      <c r="C144" s="1"/>
      <c r="D144" s="1" t="s">
        <v>281</v>
      </c>
      <c r="E144" s="46" t="s">
        <v>48</v>
      </c>
      <c r="F144" s="5">
        <f>VLOOKUP($D144,tbl_ERP[],7,0)</f>
        <v>28108666791292.668</v>
      </c>
      <c r="G144" s="38">
        <f>INDEX(tbl_electricity[],MATCH($D$144,tbl_electricity[ERP identifier],0),MATCH(RP_concrete!F$14,tbl_electricity[#Headers],0))</f>
        <v>1.8499999999999999E-2</v>
      </c>
      <c r="H144" s="1"/>
      <c r="I144" s="5">
        <f>VLOOKUP($D144,tbl_ERP[],7,0)</f>
        <v>28108666791292.668</v>
      </c>
      <c r="J144" s="38">
        <f>INDEX(tbl_electricity[],MATCH($D$144,tbl_electricity[ERP identifier],0),MATCH(RP_concrete!I$14,tbl_electricity[#Headers],0))</f>
        <v>1.8499999999999999E-2</v>
      </c>
      <c r="K144" s="1"/>
      <c r="L144" s="5">
        <f>VLOOKUP($D144,tbl_ERP[],7,0)</f>
        <v>28108666791292.668</v>
      </c>
      <c r="M144" s="38" t="e">
        <f>INDEX(tbl_electricity[],MATCH($D$144,tbl_electricity[ERP identifier],0),MATCH(RP_concrete!L$14,tbl_electricity[#Headers],0))</f>
        <v>#N/A</v>
      </c>
      <c r="N144" s="1"/>
      <c r="O144" s="5">
        <f>VLOOKUP($D144,tbl_ERP[],7,0)</f>
        <v>28108666791292.668</v>
      </c>
      <c r="P144" s="38" t="e">
        <f>INDEX(tbl_electricity[],MATCH($D$144,tbl_electricity[ERP identifier],0),MATCH(RP_concrete!O$14,tbl_electricity[#Headers],0))</f>
        <v>#N/A</v>
      </c>
      <c r="Q144" s="1"/>
      <c r="R144" s="5">
        <f>VLOOKUP($D144,tbl_ERP[],7,0)</f>
        <v>28108666791292.668</v>
      </c>
      <c r="S144" s="38" t="e">
        <f>INDEX(tbl_electricity[],MATCH($D$144,tbl_electricity[ERP identifier],0),MATCH(RP_concrete!R$14,tbl_electricity[#Headers],0))</f>
        <v>#N/A</v>
      </c>
      <c r="T144" s="1"/>
    </row>
    <row r="145" spans="1:20" customFormat="1" x14ac:dyDescent="0.55000000000000004">
      <c r="A145" s="88"/>
      <c r="B145" s="25"/>
      <c r="C145" s="1"/>
      <c r="D145" s="1"/>
      <c r="E145" s="4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customFormat="1" x14ac:dyDescent="0.55000000000000004">
      <c r="A146" s="88"/>
      <c r="B146" s="25"/>
      <c r="C146" s="1" t="s">
        <v>65</v>
      </c>
      <c r="D146" s="1" t="s">
        <v>148</v>
      </c>
      <c r="E146" s="46" t="s">
        <v>47</v>
      </c>
      <c r="F146" s="39">
        <f>F$30*INDEX(tbl_material[],MATCH(F$10,tbl_material[material],0),MATCH(RP_concrete!$D$146,tbl_material[#Headers],0))+F$58*INDEX(tbl_material[],MATCH(F$11,tbl_material[material],0),MATCH(RP_concrete!$D$146,tbl_material[#Headers],0))+F$86*INDEX(tbl_material[],MATCH(F$12,tbl_material[material],0),MATCH(RP_concrete!$D$146,tbl_material[#Headers],0))+F$114*INDEX(tbl_material[],MATCH(F$13,tbl_material[material],0),MATCH(RP_concrete!$D$146,tbl_material[#Headers],0))</f>
        <v>57.7</v>
      </c>
      <c r="G146" s="1"/>
      <c r="H146" s="1"/>
      <c r="I146" s="39">
        <f>I$30*INDEX(tbl_material[],MATCH(I$10,tbl_material[material],0),MATCH(RP_concrete!$D$146,tbl_material[#Headers],0))+I$58*INDEX(tbl_material[],MATCH(I$11,tbl_material[material],0),MATCH(RP_concrete!$D$146,tbl_material[#Headers],0))+I$86*INDEX(tbl_material[],MATCH(I$12,tbl_material[material],0),MATCH(RP_concrete!$D$146,tbl_material[#Headers],0))+I$114*INDEX(tbl_material[],MATCH(I$13,tbl_material[material],0),MATCH(RP_concrete!$D$146,tbl_material[#Headers],0))</f>
        <v>57.7</v>
      </c>
      <c r="J146" s="1"/>
      <c r="K146" s="1"/>
      <c r="L146" s="39" t="e">
        <f>L$30*INDEX(tbl_material[],MATCH(L$10,tbl_material[material],0),MATCH(RP_concrete!$D$146,tbl_material[#Headers],0))+L$58*INDEX(tbl_material[],MATCH(L$11,tbl_material[material],0),MATCH(RP_concrete!$D$146,tbl_material[#Headers],0))+L$86*INDEX(tbl_material[],MATCH(L$12,tbl_material[material],0),MATCH(RP_concrete!$D$146,tbl_material[#Headers],0))+L$114*INDEX(tbl_material[],MATCH(L$13,tbl_material[material],0),MATCH(RP_concrete!$D$146,tbl_material[#Headers],0))</f>
        <v>#N/A</v>
      </c>
      <c r="M146" s="1"/>
      <c r="N146" s="1"/>
      <c r="O146" s="39" t="e">
        <f>O$30*INDEX(tbl_material[],MATCH(O$10,tbl_material[material],0),MATCH(RP_concrete!$D$146,tbl_material[#Headers],0))+O$58*INDEX(tbl_material[],MATCH(O$11,tbl_material[material],0),MATCH(RP_concrete!$D$146,tbl_material[#Headers],0))+O$86*INDEX(tbl_material[],MATCH(O$12,tbl_material[material],0),MATCH(RP_concrete!$D$146,tbl_material[#Headers],0))+O$114*INDEX(tbl_material[],MATCH(O$13,tbl_material[material],0),MATCH(RP_concrete!$D$146,tbl_material[#Headers],0))</f>
        <v>#N/A</v>
      </c>
      <c r="P146" s="1"/>
      <c r="Q146" s="1"/>
      <c r="R146" s="39" t="e">
        <f>R$30*INDEX(tbl_material[],MATCH(R$10,tbl_material[material],0),MATCH(RP_concrete!$D$146,tbl_material[#Headers],0))+R$58*INDEX(tbl_material[],MATCH(R$11,tbl_material[material],0),MATCH(RP_concrete!$D$146,tbl_material[#Headers],0))+R$86*INDEX(tbl_material[],MATCH(R$12,tbl_material[material],0),MATCH(RP_concrete!$D$146,tbl_material[#Headers],0))+R$114*INDEX(tbl_material[],MATCH(R$13,tbl_material[material],0),MATCH(RP_concrete!$D$146,tbl_material[#Headers],0))</f>
        <v>#N/A</v>
      </c>
      <c r="S146" s="1"/>
      <c r="T146" s="1"/>
    </row>
    <row r="147" spans="1:20" customFormat="1" x14ac:dyDescent="0.55000000000000004">
      <c r="A147" s="88"/>
      <c r="B147" s="25"/>
      <c r="C147" s="1" t="s">
        <v>65</v>
      </c>
      <c r="D147" s="1" t="s">
        <v>156</v>
      </c>
      <c r="E147" s="46" t="s">
        <v>47</v>
      </c>
      <c r="F147" s="39">
        <f>G160*(F162+F163)*heat_pump_factor</f>
        <v>0</v>
      </c>
      <c r="G147" s="1"/>
      <c r="H147" s="1"/>
      <c r="I147" s="39">
        <f>J160*(I162+I163)*heat_pump_factor</f>
        <v>0</v>
      </c>
      <c r="J147" s="1"/>
      <c r="K147" s="1"/>
      <c r="L147" s="39" t="e">
        <f>M160*(L162+L163)*heat_pump_factor</f>
        <v>#N/A</v>
      </c>
      <c r="M147" s="1"/>
      <c r="N147" s="1"/>
      <c r="O147" s="39" t="e">
        <f>P160*(O162+O163)*heat_pump_factor</f>
        <v>#N/A</v>
      </c>
      <c r="P147" s="1"/>
      <c r="Q147" s="1"/>
      <c r="R147" s="39" t="e">
        <f>S160*(R162+R163)*heat_pump_factor</f>
        <v>#N/A</v>
      </c>
      <c r="S147" s="1"/>
      <c r="T147" s="1"/>
    </row>
    <row r="148" spans="1:20" customFormat="1" x14ac:dyDescent="0.55000000000000004">
      <c r="A148" s="88"/>
      <c r="B148" s="25"/>
      <c r="C148" s="1" t="s">
        <v>65</v>
      </c>
      <c r="D148" s="1" t="s">
        <v>154</v>
      </c>
      <c r="E148" s="46" t="s">
        <v>47</v>
      </c>
      <c r="F148" s="39">
        <f>F$30*INDEX(tbl_material[],MATCH(F$10,tbl_material[material],0),MATCH(RP_concrete!$D$148,tbl_material[#Headers],0))+F$58*INDEX(tbl_material[],MATCH(F$11,tbl_material[material],0),MATCH(RP_concrete!$D$148,tbl_material[#Headers],0))+F$86*INDEX(tbl_material[],MATCH(F$12,tbl_material[material],0),MATCH(RP_concrete!$D$148,tbl_material[#Headers],0))+F$114*INDEX(tbl_material[],MATCH(F$13,tbl_material[material],0),MATCH(RP_concrete!$D$148,tbl_material[#Headers],0))</f>
        <v>79.7</v>
      </c>
      <c r="G148" s="1"/>
      <c r="H148" s="1"/>
      <c r="I148" s="39">
        <f>I$30*INDEX(tbl_material[],MATCH(I$10,tbl_material[material],0),MATCH(RP_concrete!$D$148,tbl_material[#Headers],0))+I$58*INDEX(tbl_material[],MATCH(I$11,tbl_material[material],0),MATCH(RP_concrete!$D$148,tbl_material[#Headers],0))+I$86*INDEX(tbl_material[],MATCH(I$12,tbl_material[material],0),MATCH(RP_concrete!$D$148,tbl_material[#Headers],0))+I$114*INDEX(tbl_material[],MATCH(I$13,tbl_material[material],0),MATCH(RP_concrete!$D$148,tbl_material[#Headers],0))</f>
        <v>79.7</v>
      </c>
      <c r="J148" s="1"/>
      <c r="K148" s="1"/>
      <c r="L148" s="39" t="e">
        <f>L$30*INDEX(tbl_material[],MATCH(L$10,tbl_material[material],0),MATCH(RP_concrete!$D$148,tbl_material[#Headers],0))+L$58*INDEX(tbl_material[],MATCH(L$11,tbl_material[material],0),MATCH(RP_concrete!$D$148,tbl_material[#Headers],0))+L$86*INDEX(tbl_material[],MATCH(L$12,tbl_material[material],0),MATCH(RP_concrete!$D$148,tbl_material[#Headers],0))+L$114*INDEX(tbl_material[],MATCH(L$13,tbl_material[material],0),MATCH(RP_concrete!$D$148,tbl_material[#Headers],0))</f>
        <v>#N/A</v>
      </c>
      <c r="M148" s="1"/>
      <c r="N148" s="1"/>
      <c r="O148" s="39" t="e">
        <f>O$30*INDEX(tbl_material[],MATCH(O$10,tbl_material[material],0),MATCH(RP_concrete!$D$148,tbl_material[#Headers],0))+O$58*INDEX(tbl_material[],MATCH(O$11,tbl_material[material],0),MATCH(RP_concrete!$D$148,tbl_material[#Headers],0))+O$86*INDEX(tbl_material[],MATCH(O$12,tbl_material[material],0),MATCH(RP_concrete!$D$148,tbl_material[#Headers],0))+O$114*INDEX(tbl_material[],MATCH(O$13,tbl_material[material],0),MATCH(RP_concrete!$D$148,tbl_material[#Headers],0))</f>
        <v>#N/A</v>
      </c>
      <c r="P148" s="1"/>
      <c r="Q148" s="1"/>
      <c r="R148" s="39" t="e">
        <f>R$30*INDEX(tbl_material[],MATCH(R$10,tbl_material[material],0),MATCH(RP_concrete!$D$148,tbl_material[#Headers],0))+R$58*INDEX(tbl_material[],MATCH(R$11,tbl_material[material],0),MATCH(RP_concrete!$D$148,tbl_material[#Headers],0))+R$86*INDEX(tbl_material[],MATCH(R$12,tbl_material[material],0),MATCH(RP_concrete!$D$148,tbl_material[#Headers],0))+R$114*INDEX(tbl_material[],MATCH(R$13,tbl_material[material],0),MATCH(RP_concrete!$D$148,tbl_material[#Headers],0))</f>
        <v>#N/A</v>
      </c>
      <c r="S148" s="1"/>
      <c r="T148" s="1"/>
    </row>
    <row r="149" spans="1:20" customFormat="1" x14ac:dyDescent="0.55000000000000004">
      <c r="A149" s="88"/>
      <c r="B149" s="1"/>
      <c r="C149" s="1" t="s">
        <v>65</v>
      </c>
      <c r="D149" s="1" t="s">
        <v>106</v>
      </c>
      <c r="E149" s="46" t="s">
        <v>47</v>
      </c>
      <c r="F149" s="26">
        <f>F146+F147+F148</f>
        <v>137.4</v>
      </c>
      <c r="G149" s="1"/>
      <c r="H149" s="1"/>
      <c r="I149" s="26">
        <f>I146+I147+I148</f>
        <v>137.4</v>
      </c>
      <c r="J149" s="1"/>
      <c r="K149" s="1"/>
      <c r="L149" s="26" t="e">
        <f>L146+L147+L148</f>
        <v>#N/A</v>
      </c>
      <c r="M149" s="1"/>
      <c r="N149" s="1"/>
      <c r="O149" s="26" t="e">
        <f>O146+O147+O148</f>
        <v>#N/A</v>
      </c>
      <c r="P149" s="1"/>
      <c r="Q149" s="1"/>
      <c r="R149" s="26" t="e">
        <f>R146+R147+R148</f>
        <v>#N/A</v>
      </c>
      <c r="S149" s="1"/>
      <c r="T149" s="1"/>
    </row>
    <row r="150" spans="1:20" customFormat="1" x14ac:dyDescent="0.55000000000000004">
      <c r="A150" s="88"/>
      <c r="B150" s="1"/>
      <c r="C150" s="1"/>
      <c r="D150" s="1"/>
      <c r="E150" s="4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customFormat="1" ht="19.8" x14ac:dyDescent="0.65">
      <c r="A151" s="88"/>
      <c r="B151" s="9" t="s">
        <v>31</v>
      </c>
      <c r="C151" s="3" t="s">
        <v>43</v>
      </c>
      <c r="D151" s="1" t="s">
        <v>41</v>
      </c>
      <c r="E151" s="25" t="s">
        <v>1</v>
      </c>
      <c r="F151" s="6">
        <f>F149/lifetime_concrete*(G134/F134+G135/F135+G136/F136+G137/F137+G138/F138+G139/F139+G140/F140+G141/F141+G142/F142+G143/F143+G144/F144)</f>
        <v>8.8357249882803691E-13</v>
      </c>
      <c r="G151" s="1"/>
      <c r="H151" s="1"/>
      <c r="I151" s="6">
        <f>I149/lifetime_concrete*(J134/I134+J135/I135+J136/I136+J137/I137+J138/I138+J139/I139+J140/I140+J141/I141+J142/I142+J143/I143+J144/I144)</f>
        <v>8.8357249882803691E-13</v>
      </c>
      <c r="J151" s="1"/>
      <c r="K151" s="1"/>
      <c r="L151" s="6" t="e">
        <f>L149/lifetime_concrete*(M134/L134+M135/L135+M136/L136+M137/L137+M138/L138+M139/L139+M140/L140+M141/L141+M142/L142+M143/L143+M144/L144)</f>
        <v>#N/A</v>
      </c>
      <c r="M151" s="1"/>
      <c r="N151" s="1"/>
      <c r="O151" s="6" t="e">
        <f>O149/lifetime_concrete*(P134/O134+P135/O135+P136/O136+P137/O137+P138/O138+P139/O139+P140/O140+P141/O141+P142/O142+P143/O143+P144/O144)</f>
        <v>#N/A</v>
      </c>
      <c r="P151" s="1"/>
      <c r="Q151" s="1"/>
      <c r="R151" s="6" t="e">
        <f>R149/lifetime_concrete*(S134/R134+S135/R135+S136/R136+S137/R137+S138/R138+S139/R139+S140/R140+S141/R141+S142/R142+S143/R143+S144/R144)</f>
        <v>#N/A</v>
      </c>
      <c r="S151" s="1"/>
      <c r="T151" s="1"/>
    </row>
    <row r="152" spans="1:20" customFormat="1" x14ac:dyDescent="0.55000000000000004">
      <c r="A152" s="1"/>
      <c r="B152" s="1"/>
      <c r="C152" s="1"/>
      <c r="D152" s="1"/>
      <c r="E152" s="4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customFormat="1" x14ac:dyDescent="0.55000000000000004">
      <c r="A153" s="1"/>
      <c r="B153" s="1"/>
      <c r="C153" s="1"/>
      <c r="D153" s="1"/>
      <c r="E153" s="4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customFormat="1" ht="14.5" customHeight="1" x14ac:dyDescent="0.55000000000000004">
      <c r="A154" s="89" t="s">
        <v>40</v>
      </c>
      <c r="B154" s="46" t="s">
        <v>49</v>
      </c>
      <c r="C154" s="1" t="s">
        <v>40</v>
      </c>
      <c r="D154" s="1"/>
      <c r="E154" s="46"/>
      <c r="F154" s="1"/>
      <c r="G154" s="1" t="s">
        <v>67</v>
      </c>
      <c r="H154" s="1"/>
      <c r="I154" s="1"/>
      <c r="J154" s="1" t="s">
        <v>67</v>
      </c>
      <c r="K154" s="1"/>
      <c r="L154" s="1"/>
      <c r="M154" s="1" t="s">
        <v>67</v>
      </c>
      <c r="N154" s="1"/>
      <c r="O154" s="1"/>
      <c r="P154" s="1" t="s">
        <v>67</v>
      </c>
      <c r="Q154" s="1"/>
      <c r="R154" s="1"/>
      <c r="S154" s="1" t="s">
        <v>67</v>
      </c>
      <c r="T154" s="1"/>
    </row>
    <row r="155" spans="1:20" x14ac:dyDescent="0.55000000000000004">
      <c r="A155" s="89"/>
      <c r="B155" s="25" t="s">
        <v>10</v>
      </c>
      <c r="C155" s="1" t="s">
        <v>26</v>
      </c>
      <c r="D155" t="s">
        <v>118</v>
      </c>
      <c r="E155" s="46" t="s">
        <v>48</v>
      </c>
      <c r="F155" s="5">
        <f>VLOOKUP($D155,tbl_ERP[],7,0)</f>
        <v>60153880670886.164</v>
      </c>
      <c r="G155" s="39">
        <f>INDEX(tbl_heat[],MATCH($D$155,tbl_heat[ERP identifier],0),MATCH(RP_concrete!F$15,tbl_heat[#Headers],0))</f>
        <v>0.5</v>
      </c>
      <c r="I155" s="5">
        <f>VLOOKUP($D155,tbl_ERP[],7,0)</f>
        <v>60153880670886.164</v>
      </c>
      <c r="J155" s="39">
        <f>INDEX(tbl_heat[],MATCH($D$155,tbl_heat[ERP identifier],0),MATCH(RP_concrete!I$15,tbl_heat[#Headers],0))</f>
        <v>0.5</v>
      </c>
      <c r="L155" s="5">
        <f>VLOOKUP($D155,tbl_ERP[],7,0)</f>
        <v>60153880670886.164</v>
      </c>
      <c r="M155" s="39" t="e">
        <f>INDEX(tbl_heat[],MATCH($D$155,tbl_heat[ERP identifier],0),MATCH(RP_concrete!L$15,tbl_heat[#Headers],0))</f>
        <v>#N/A</v>
      </c>
      <c r="O155" s="5">
        <f>VLOOKUP($D155,tbl_ERP[],7,0)</f>
        <v>60153880670886.164</v>
      </c>
      <c r="P155" s="39" t="e">
        <f>INDEX(tbl_heat[],MATCH($D$155,tbl_heat[ERP identifier],0),MATCH(RP_concrete!O$15,tbl_heat[#Headers],0))</f>
        <v>#N/A</v>
      </c>
      <c r="R155" s="5">
        <f>VLOOKUP($D155,tbl_ERP[],7,0)</f>
        <v>60153880670886.164</v>
      </c>
      <c r="S155" s="39" t="e">
        <f>INDEX(tbl_heat[],MATCH($D$155,tbl_heat[ERP identifier],0),MATCH(RP_concrete!R$15,tbl_heat[#Headers],0))</f>
        <v>#N/A</v>
      </c>
    </row>
    <row r="156" spans="1:20" x14ac:dyDescent="0.55000000000000004">
      <c r="A156" s="89"/>
      <c r="B156" s="25"/>
      <c r="D156" t="s">
        <v>282</v>
      </c>
      <c r="E156" s="46" t="s">
        <v>48</v>
      </c>
      <c r="F156" s="5">
        <f>VLOOKUP($D156,tbl_ERP[],7,0)</f>
        <v>35511568623903.633</v>
      </c>
      <c r="G156" s="39">
        <f>INDEX(tbl_heat[],MATCH($D$156,tbl_heat[ERP identifier],0),MATCH(RP_concrete!F$15,tbl_heat[#Headers],0))</f>
        <v>0</v>
      </c>
      <c r="I156" s="5">
        <f>VLOOKUP($D156,tbl_ERP[],7,0)</f>
        <v>35511568623903.633</v>
      </c>
      <c r="J156" s="39">
        <f>INDEX(tbl_heat[],MATCH($D$156,tbl_heat[ERP identifier],0),MATCH(RP_concrete!I$15,tbl_heat[#Headers],0))</f>
        <v>0</v>
      </c>
      <c r="L156" s="5">
        <f>VLOOKUP($D156,tbl_ERP[],7,0)</f>
        <v>35511568623903.633</v>
      </c>
      <c r="M156" s="39" t="e">
        <f>INDEX(tbl_heat[],MATCH($D$156,tbl_heat[ERP identifier],0),MATCH(RP_concrete!L$15,tbl_heat[#Headers],0))</f>
        <v>#N/A</v>
      </c>
      <c r="O156" s="5">
        <f>VLOOKUP($D156,tbl_ERP[],7,0)</f>
        <v>35511568623903.633</v>
      </c>
      <c r="P156" s="39" t="e">
        <f>INDEX(tbl_heat[],MATCH($D$156,tbl_heat[ERP identifier],0),MATCH(RP_concrete!O$15,tbl_heat[#Headers],0))</f>
        <v>#N/A</v>
      </c>
      <c r="R156" s="5">
        <f>VLOOKUP($D156,tbl_ERP[],7,0)</f>
        <v>35511568623903.633</v>
      </c>
      <c r="S156" s="39" t="e">
        <f>INDEX(tbl_heat[],MATCH($D$156,tbl_heat[ERP identifier],0),MATCH(RP_concrete!R$15,tbl_heat[#Headers],0))</f>
        <v>#N/A</v>
      </c>
    </row>
    <row r="157" spans="1:20" customFormat="1" ht="14.5" customHeight="1" x14ac:dyDescent="0.55000000000000004">
      <c r="A157" s="89"/>
      <c r="B157" s="25"/>
      <c r="C157" s="1"/>
      <c r="D157" t="s">
        <v>151</v>
      </c>
      <c r="E157" s="46" t="s">
        <v>48</v>
      </c>
      <c r="F157" s="5">
        <f>VLOOKUP($D157,tbl_ERP[],7,0)</f>
        <v>33059022119967.516</v>
      </c>
      <c r="G157" s="39">
        <f>INDEX(tbl_heat[],MATCH($D$157,tbl_heat[ERP identifier],0),MATCH(RP_concrete!F$15,tbl_heat[#Headers],0))</f>
        <v>0.5</v>
      </c>
      <c r="H157" s="1"/>
      <c r="I157" s="5">
        <f>VLOOKUP($D157,tbl_ERP[],7,0)</f>
        <v>33059022119967.516</v>
      </c>
      <c r="J157" s="39">
        <f>INDEX(tbl_heat[],MATCH($D$157,tbl_heat[ERP identifier],0),MATCH(RP_concrete!I$15,tbl_heat[#Headers],0))</f>
        <v>0.5</v>
      </c>
      <c r="K157" s="1"/>
      <c r="L157" s="5">
        <f>VLOOKUP($D157,tbl_ERP[],7,0)</f>
        <v>33059022119967.516</v>
      </c>
      <c r="M157" s="39" t="e">
        <f>INDEX(tbl_heat[],MATCH($D$157,tbl_heat[ERP identifier],0),MATCH(RP_concrete!L$15,tbl_heat[#Headers],0))</f>
        <v>#N/A</v>
      </c>
      <c r="N157" s="1"/>
      <c r="O157" s="5">
        <f>VLOOKUP($D157,tbl_ERP[],7,0)</f>
        <v>33059022119967.516</v>
      </c>
      <c r="P157" s="39" t="e">
        <f>INDEX(tbl_heat[],MATCH($D$157,tbl_heat[ERP identifier],0),MATCH(RP_concrete!O$15,tbl_heat[#Headers],0))</f>
        <v>#N/A</v>
      </c>
      <c r="Q157" s="1"/>
      <c r="R157" s="5">
        <f>VLOOKUP($D157,tbl_ERP[],7,0)</f>
        <v>33059022119967.516</v>
      </c>
      <c r="S157" s="39" t="e">
        <f>INDEX(tbl_heat[],MATCH($D$157,tbl_heat[ERP identifier],0),MATCH(RP_concrete!R$15,tbl_heat[#Headers],0))</f>
        <v>#N/A</v>
      </c>
      <c r="T157" s="1"/>
    </row>
    <row r="158" spans="1:20" customFormat="1" x14ac:dyDescent="0.55000000000000004">
      <c r="A158" s="89"/>
      <c r="B158" s="25"/>
      <c r="C158" s="1"/>
      <c r="D158" t="s">
        <v>120</v>
      </c>
      <c r="E158" s="46" t="s">
        <v>48</v>
      </c>
      <c r="F158" s="5">
        <f>VLOOKUP($D158,tbl_ERP[],7,0)</f>
        <v>4480000000000</v>
      </c>
      <c r="G158" s="39">
        <f>INDEX(tbl_heat[],MATCH($D$158,tbl_heat[ERP identifier],0),MATCH(RP_concrete!F$15,tbl_heat[#Headers],0))</f>
        <v>0</v>
      </c>
      <c r="H158" s="1"/>
      <c r="I158" s="5">
        <f>VLOOKUP($D158,tbl_ERP[],7,0)</f>
        <v>4480000000000</v>
      </c>
      <c r="J158" s="39">
        <f>INDEX(tbl_heat[],MATCH($D$158,tbl_heat[ERP identifier],0),MATCH(RP_concrete!I$15,tbl_heat[#Headers],0))</f>
        <v>0</v>
      </c>
      <c r="K158" s="1"/>
      <c r="L158" s="5">
        <f>VLOOKUP($D158,tbl_ERP[],7,0)</f>
        <v>4480000000000</v>
      </c>
      <c r="M158" s="39" t="e">
        <f>INDEX(tbl_heat[],MATCH($D$158,tbl_heat[ERP identifier],0),MATCH(RP_concrete!L$15,tbl_heat[#Headers],0))</f>
        <v>#N/A</v>
      </c>
      <c r="N158" s="1"/>
      <c r="O158" s="5">
        <f>VLOOKUP($D158,tbl_ERP[],7,0)</f>
        <v>4480000000000</v>
      </c>
      <c r="P158" s="39" t="e">
        <f>INDEX(tbl_heat[],MATCH($D$158,tbl_heat[ERP identifier],0),MATCH(RP_concrete!O$15,tbl_heat[#Headers],0))</f>
        <v>#N/A</v>
      </c>
      <c r="Q158" s="1"/>
      <c r="R158" s="5">
        <f>VLOOKUP($D158,tbl_ERP[],7,0)</f>
        <v>4480000000000</v>
      </c>
      <c r="S158" s="39" t="e">
        <f>INDEX(tbl_heat[],MATCH($D$158,tbl_heat[ERP identifier],0),MATCH(RP_concrete!R$15,tbl_heat[#Headers],0))</f>
        <v>#N/A</v>
      </c>
      <c r="T158" s="1"/>
    </row>
    <row r="159" spans="1:20" customFormat="1" x14ac:dyDescent="0.55000000000000004">
      <c r="A159" s="89"/>
      <c r="B159" s="25"/>
      <c r="C159" s="1"/>
      <c r="D159" t="s">
        <v>119</v>
      </c>
      <c r="E159" s="46" t="s">
        <v>48</v>
      </c>
      <c r="F159" s="5">
        <f>VLOOKUP($D159,tbl_ERP[],7,0)</f>
        <v>838095238095238.13</v>
      </c>
      <c r="G159" s="39">
        <f>INDEX(tbl_heat[],MATCH($D$159,tbl_heat[ERP identifier],0),MATCH(RP_concrete!F$15,tbl_heat[#Headers],0))</f>
        <v>0</v>
      </c>
      <c r="H159" s="1"/>
      <c r="I159" s="5">
        <f>VLOOKUP($D159,tbl_ERP[],7,0)</f>
        <v>838095238095238.13</v>
      </c>
      <c r="J159" s="39">
        <f>INDEX(tbl_heat[],MATCH($D$159,tbl_heat[ERP identifier],0),MATCH(RP_concrete!I$15,tbl_heat[#Headers],0))</f>
        <v>0</v>
      </c>
      <c r="K159" s="1"/>
      <c r="L159" s="5">
        <f>VLOOKUP($D159,tbl_ERP[],7,0)</f>
        <v>838095238095238.13</v>
      </c>
      <c r="M159" s="39" t="e">
        <f>INDEX(tbl_heat[],MATCH($D$159,tbl_heat[ERP identifier],0),MATCH(RP_concrete!L$15,tbl_heat[#Headers],0))</f>
        <v>#N/A</v>
      </c>
      <c r="N159" s="1"/>
      <c r="O159" s="5">
        <f>VLOOKUP($D159,tbl_ERP[],7,0)</f>
        <v>838095238095238.13</v>
      </c>
      <c r="P159" s="39" t="e">
        <f>INDEX(tbl_heat[],MATCH($D$159,tbl_heat[ERP identifier],0),MATCH(RP_concrete!O$15,tbl_heat[#Headers],0))</f>
        <v>#N/A</v>
      </c>
      <c r="Q159" s="1"/>
      <c r="R159" s="5">
        <f>VLOOKUP($D159,tbl_ERP[],7,0)</f>
        <v>838095238095238.13</v>
      </c>
      <c r="S159" s="39" t="e">
        <f>INDEX(tbl_heat[],MATCH($D$159,tbl_heat[ERP identifier],0),MATCH(RP_concrete!R$15,tbl_heat[#Headers],0))</f>
        <v>#N/A</v>
      </c>
      <c r="T159" s="1"/>
    </row>
    <row r="160" spans="1:20" customFormat="1" x14ac:dyDescent="0.55000000000000004">
      <c r="A160" s="89"/>
      <c r="B160" s="25"/>
      <c r="C160" s="1"/>
      <c r="D160" t="s">
        <v>153</v>
      </c>
      <c r="E160" s="46"/>
      <c r="F160" s="5"/>
      <c r="G160" s="39">
        <f>INDEX(tbl_heat[],MATCH($D$160,tbl_heat[ERP identifier],0),MATCH(RP_concrete!F$15,tbl_heat[#Headers],0))</f>
        <v>0</v>
      </c>
      <c r="H160" s="1"/>
      <c r="I160" s="5"/>
      <c r="J160" s="39">
        <f>INDEX(tbl_heat[],MATCH($D$160,tbl_heat[ERP identifier],0),MATCH(RP_concrete!I$15,tbl_heat[#Headers],0))</f>
        <v>0</v>
      </c>
      <c r="K160" s="1"/>
      <c r="L160" s="5"/>
      <c r="M160" s="39" t="e">
        <f>INDEX(tbl_heat[],MATCH($D$160,tbl_heat[ERP identifier],0),MATCH(RP_concrete!L$15,tbl_heat[#Headers],0))</f>
        <v>#N/A</v>
      </c>
      <c r="N160" s="1"/>
      <c r="O160" s="5"/>
      <c r="P160" s="39" t="e">
        <f>INDEX(tbl_heat[],MATCH($D$160,tbl_heat[ERP identifier],0),MATCH(RP_concrete!O$15,tbl_heat[#Headers],0))</f>
        <v>#N/A</v>
      </c>
      <c r="Q160" s="1"/>
      <c r="R160" s="5"/>
      <c r="S160" s="39" t="e">
        <f>INDEX(tbl_heat[],MATCH($D$160,tbl_heat[ERP identifier],0),MATCH(RP_concrete!R$15,tbl_heat[#Headers],0))</f>
        <v>#N/A</v>
      </c>
      <c r="T160" s="1"/>
    </row>
    <row r="161" spans="1:20" customFormat="1" x14ac:dyDescent="0.55000000000000004">
      <c r="A161" s="89"/>
      <c r="B161" s="25"/>
      <c r="C161" s="1"/>
      <c r="D161" s="1"/>
      <c r="E161" s="4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customFormat="1" x14ac:dyDescent="0.55000000000000004">
      <c r="A162" s="89"/>
      <c r="B162" s="25"/>
      <c r="C162" s="1" t="s">
        <v>64</v>
      </c>
      <c r="D162" s="1" t="s">
        <v>149</v>
      </c>
      <c r="E162" s="46" t="s">
        <v>47</v>
      </c>
      <c r="F162" s="39">
        <f>F$30*INDEX(tbl_material[],MATCH(F$10,tbl_material[material],0),MATCH(RP_concrete!$D$162,tbl_material[#Headers],0))+F$58*INDEX(tbl_material[],MATCH(F$11,tbl_material[material],0),MATCH(RP_concrete!$D$162,tbl_material[#Headers],0))+F$86*INDEX(tbl_material[],MATCH(F$12,tbl_material[material],0),MATCH(RP_concrete!$D$162,tbl_material[#Headers],0))+F$114*INDEX(tbl_material[],MATCH(F$13,tbl_material[material],0),MATCH(RP_concrete!$D$162,tbl_material[#Headers],0))</f>
        <v>0</v>
      </c>
      <c r="G162" s="1"/>
      <c r="H162" s="1"/>
      <c r="I162" s="39">
        <f>I$30*INDEX(tbl_material[],MATCH(I$10,tbl_material[material],0),MATCH(RP_concrete!$D$162,tbl_material[#Headers],0))+I$58*INDEX(tbl_material[],MATCH(I$11,tbl_material[material],0),MATCH(RP_concrete!$D$162,tbl_material[#Headers],0))+I$86*INDEX(tbl_material[],MATCH(I$12,tbl_material[material],0),MATCH(RP_concrete!$D$162,tbl_material[#Headers],0))+I$114*INDEX(tbl_material[],MATCH(I$13,tbl_material[material],0),MATCH(RP_concrete!$D$162,tbl_material[#Headers],0))</f>
        <v>0</v>
      </c>
      <c r="J162" s="1"/>
      <c r="K162" s="1"/>
      <c r="L162" s="39" t="e">
        <f>L$30*INDEX(tbl_material[],MATCH(L$10,tbl_material[material],0),MATCH(RP_concrete!$D$162,tbl_material[#Headers],0))+L$58*INDEX(tbl_material[],MATCH(L$11,tbl_material[material],0),MATCH(RP_concrete!$D$162,tbl_material[#Headers],0))+L$86*INDEX(tbl_material[],MATCH(L$12,tbl_material[material],0),MATCH(RP_concrete!$D$162,tbl_material[#Headers],0))+L$114*INDEX(tbl_material[],MATCH(L$13,tbl_material[material],0),MATCH(RP_concrete!$D$162,tbl_material[#Headers],0))</f>
        <v>#N/A</v>
      </c>
      <c r="M162" s="1"/>
      <c r="N162" s="1"/>
      <c r="O162" s="39" t="e">
        <f>O$30*INDEX(tbl_material[],MATCH(O$10,tbl_material[material],0),MATCH(RP_concrete!$D$162,tbl_material[#Headers],0))+O$58*INDEX(tbl_material[],MATCH(O$11,tbl_material[material],0),MATCH(RP_concrete!$D$162,tbl_material[#Headers],0))+O$86*INDEX(tbl_material[],MATCH(O$12,tbl_material[material],0),MATCH(RP_concrete!$D$162,tbl_material[#Headers],0))+O$114*INDEX(tbl_material[],MATCH(O$13,tbl_material[material],0),MATCH(RP_concrete!$D$162,tbl_material[#Headers],0))</f>
        <v>#N/A</v>
      </c>
      <c r="P162" s="1"/>
      <c r="Q162" s="1"/>
      <c r="R162" s="39" t="e">
        <f>R$30*INDEX(tbl_material[],MATCH(R$10,tbl_material[material],0),MATCH(RP_concrete!$D$162,tbl_material[#Headers],0))+R$58*INDEX(tbl_material[],MATCH(R$11,tbl_material[material],0),MATCH(RP_concrete!$D$162,tbl_material[#Headers],0))+R$86*INDEX(tbl_material[],MATCH(R$12,tbl_material[material],0),MATCH(RP_concrete!$D$162,tbl_material[#Headers],0))+R$114*INDEX(tbl_material[],MATCH(R$13,tbl_material[material],0),MATCH(RP_concrete!$D$162,tbl_material[#Headers],0))</f>
        <v>#N/A</v>
      </c>
      <c r="S162" s="1"/>
      <c r="T162" s="1"/>
    </row>
    <row r="163" spans="1:20" customFormat="1" x14ac:dyDescent="0.55000000000000004">
      <c r="A163" s="89"/>
      <c r="B163" s="25"/>
      <c r="C163" s="1" t="s">
        <v>64</v>
      </c>
      <c r="D163" s="1" t="s">
        <v>155</v>
      </c>
      <c r="E163" s="46" t="s">
        <v>47</v>
      </c>
      <c r="F163" s="39">
        <f>F$30*INDEX(tbl_material[],MATCH(F$10,tbl_material[material],0),MATCH(RP_concrete!$D$163,tbl_material[#Headers],0))+F$58*INDEX(tbl_material[],MATCH(F$11,tbl_material[material],0),MATCH(RP_concrete!$D$163,tbl_material[#Headers],0))+F$86*INDEX(tbl_material[],MATCH(F$12,tbl_material[material],0),MATCH(RP_concrete!$D$163,tbl_material[#Headers],0))+F$114*INDEX(tbl_material[],MATCH(F$13,tbl_material[material],0),MATCH(RP_concrete!$D$163,tbl_material[#Headers],0))</f>
        <v>0</v>
      </c>
      <c r="G163" s="1"/>
      <c r="H163" s="1"/>
      <c r="I163" s="39">
        <f>I$30*INDEX(tbl_material[],MATCH(I$10,tbl_material[material],0),MATCH(RP_concrete!$D$163,tbl_material[#Headers],0))+I$58*INDEX(tbl_material[],MATCH(I$11,tbl_material[material],0),MATCH(RP_concrete!$D$163,tbl_material[#Headers],0))+I$86*INDEX(tbl_material[],MATCH(I$12,tbl_material[material],0),MATCH(RP_concrete!$D$163,tbl_material[#Headers],0))+I$114*INDEX(tbl_material[],MATCH(I$13,tbl_material[material],0),MATCH(RP_concrete!$D$163,tbl_material[#Headers],0))</f>
        <v>0</v>
      </c>
      <c r="J163" s="1"/>
      <c r="K163" s="1"/>
      <c r="L163" s="39" t="e">
        <f>L$30*INDEX(tbl_material[],MATCH(L$10,tbl_material[material],0),MATCH(RP_concrete!$D$163,tbl_material[#Headers],0))+L$58*INDEX(tbl_material[],MATCH(L$11,tbl_material[material],0),MATCH(RP_concrete!$D$163,tbl_material[#Headers],0))+L$86*INDEX(tbl_material[],MATCH(L$12,tbl_material[material],0),MATCH(RP_concrete!$D$163,tbl_material[#Headers],0))+L$114*INDEX(tbl_material[],MATCH(L$13,tbl_material[material],0),MATCH(RP_concrete!$D$163,tbl_material[#Headers],0))</f>
        <v>#N/A</v>
      </c>
      <c r="M163" s="1"/>
      <c r="N163" s="1"/>
      <c r="O163" s="39" t="e">
        <f>O$30*INDEX(tbl_material[],MATCH(O$10,tbl_material[material],0),MATCH(RP_concrete!$D$163,tbl_material[#Headers],0))+O$58*INDEX(tbl_material[],MATCH(O$11,tbl_material[material],0),MATCH(RP_concrete!$D$163,tbl_material[#Headers],0))+O$86*INDEX(tbl_material[],MATCH(O$12,tbl_material[material],0),MATCH(RP_concrete!$D$163,tbl_material[#Headers],0))+O$114*INDEX(tbl_material[],MATCH(O$13,tbl_material[material],0),MATCH(RP_concrete!$D$163,tbl_material[#Headers],0))</f>
        <v>#N/A</v>
      </c>
      <c r="P163" s="1"/>
      <c r="Q163" s="1"/>
      <c r="R163" s="39" t="e">
        <f>R$30*INDEX(tbl_material[],MATCH(R$10,tbl_material[material],0),MATCH(RP_concrete!$D$163,tbl_material[#Headers],0))+R$58*INDEX(tbl_material[],MATCH(R$11,tbl_material[material],0),MATCH(RP_concrete!$D$163,tbl_material[#Headers],0))+R$86*INDEX(tbl_material[],MATCH(R$12,tbl_material[material],0),MATCH(RP_concrete!$D$163,tbl_material[#Headers],0))+R$114*INDEX(tbl_material[],MATCH(R$13,tbl_material[material],0),MATCH(RP_concrete!$D$163,tbl_material[#Headers],0))</f>
        <v>#N/A</v>
      </c>
      <c r="S163" s="1"/>
      <c r="T163" s="1"/>
    </row>
    <row r="164" spans="1:20" customFormat="1" x14ac:dyDescent="0.55000000000000004">
      <c r="A164" s="89"/>
      <c r="B164" s="1"/>
      <c r="C164" s="1" t="s">
        <v>64</v>
      </c>
      <c r="D164" s="1" t="s">
        <v>158</v>
      </c>
      <c r="E164" s="46" t="s">
        <v>47</v>
      </c>
      <c r="F164" s="26">
        <f>IF(G160=0,F162+F163,F162+F163-G160*(F162+F163))</f>
        <v>0</v>
      </c>
      <c r="G164" s="1"/>
      <c r="H164" s="1"/>
      <c r="I164" s="26">
        <f>IF(J160=0,I162+I163,I162+I163-J160*(I162+I163))</f>
        <v>0</v>
      </c>
      <c r="J164" s="1"/>
      <c r="K164" s="1"/>
      <c r="L164" s="26" t="e">
        <f>IF(M160=0,L162+L163,L162+L163-M160*(L162+L163))</f>
        <v>#N/A</v>
      </c>
      <c r="M164" s="1"/>
      <c r="N164" s="1"/>
      <c r="O164" s="26" t="e">
        <f>IF(P160=0,O162+O163,O162+O163-P160*(O162+O163))</f>
        <v>#N/A</v>
      </c>
      <c r="P164" s="1"/>
      <c r="Q164" s="1"/>
      <c r="R164" s="26" t="e">
        <f>IF(S160=0,R162+R163,R162+R163-S160*(R162+R163))</f>
        <v>#N/A</v>
      </c>
      <c r="S164" s="1"/>
      <c r="T164" s="1"/>
    </row>
    <row r="165" spans="1:20" customFormat="1" x14ac:dyDescent="0.55000000000000004">
      <c r="A165" s="89"/>
      <c r="B165" s="1"/>
      <c r="C165" s="1"/>
      <c r="D165" s="1"/>
      <c r="E165" s="4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customFormat="1" ht="19.8" x14ac:dyDescent="0.65">
      <c r="A166" s="89"/>
      <c r="B166" s="9" t="s">
        <v>31</v>
      </c>
      <c r="C166" s="3" t="s">
        <v>43</v>
      </c>
      <c r="D166" s="1" t="s">
        <v>159</v>
      </c>
      <c r="E166" s="25" t="s">
        <v>1</v>
      </c>
      <c r="F166" s="6">
        <f>F164/lifetime_concrete*((G155/SUM(G155:G159)/F155+(G156/SUM(G155:G159))/F156+(G157/SUM(G155:G159))/F157+(G158/SUM(G155:G159))/F158+(G159/SUM(G155:G159))/F159))</f>
        <v>0</v>
      </c>
      <c r="G166" s="1"/>
      <c r="H166" s="1"/>
      <c r="I166" s="6">
        <f>I164/lifetime_concrete*((J155/SUM(J155:J159)/I155+(J156/SUM(J155:J159))/I156+(J157/SUM(J155:J159))/I157+(J158/SUM(J155:J159))/I158+(J159/SUM(J155:J159))/I159))</f>
        <v>0</v>
      </c>
      <c r="J166" s="1"/>
      <c r="K166" s="1"/>
      <c r="L166" s="6" t="e">
        <f>L164/lifetime_concrete*((M155/SUM(M155:M159)/L155+(M156/SUM(M155:M159))/L156+(M157/SUM(M155:M159))/L157+(M158/SUM(M155:M159))/L158+(M159/SUM(M155:M159))/L159))</f>
        <v>#N/A</v>
      </c>
      <c r="M166" s="1"/>
      <c r="N166" s="1"/>
      <c r="O166" s="6" t="e">
        <f>O164/lifetime_concrete*((P155/SUM(P155:P159)/O155+(P156/SUM(P155:P159))/O156+(P157/SUM(P155:P159))/O157+(P158/SUM(P155:P159))/O158+(P159/SUM(P155:P159))/O159))</f>
        <v>#N/A</v>
      </c>
      <c r="P166" s="1"/>
      <c r="Q166" s="1"/>
      <c r="R166" s="6" t="e">
        <f>R164/lifetime_concrete*((S155/SUM(S155:S159)/R155+(S156/SUM(S155:S159))/R156+(S157/SUM(S155:S159))/R157+(S158/SUM(S155:S159))/R158+(S159/SUM(S155:S159))/R159))</f>
        <v>#N/A</v>
      </c>
      <c r="S166" s="1"/>
      <c r="T166" s="1"/>
    </row>
    <row r="167" spans="1:20" customFormat="1" ht="14.5" customHeight="1" x14ac:dyDescent="0.55000000000000004">
      <c r="A167" s="1"/>
      <c r="B167" s="1"/>
      <c r="C167" s="1"/>
      <c r="D167" s="1"/>
      <c r="E167" s="4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9" spans="1:20" x14ac:dyDescent="0.55000000000000004">
      <c r="A169" s="90" t="s">
        <v>160</v>
      </c>
      <c r="B169" s="46" t="s">
        <v>107</v>
      </c>
      <c r="C169" s="1" t="s">
        <v>42</v>
      </c>
      <c r="G169" s="1" t="s">
        <v>67</v>
      </c>
      <c r="J169" s="1" t="s">
        <v>67</v>
      </c>
      <c r="M169" s="1" t="s">
        <v>67</v>
      </c>
      <c r="P169" s="1" t="s">
        <v>67</v>
      </c>
      <c r="S169" s="1" t="s">
        <v>67</v>
      </c>
    </row>
    <row r="170" spans="1:20" x14ac:dyDescent="0.55000000000000004">
      <c r="A170" s="90"/>
      <c r="B170" s="25" t="s">
        <v>10</v>
      </c>
      <c r="C170" s="1" t="s">
        <v>26</v>
      </c>
      <c r="D170" t="s">
        <v>121</v>
      </c>
      <c r="E170" s="46" t="s">
        <v>104</v>
      </c>
      <c r="F170" s="5">
        <f>VLOOKUP($D170,tbl_ERP[],7,0)</f>
        <v>18325079790826.645</v>
      </c>
      <c r="G170" s="39">
        <f>INDEX(tbl_transport[],MATCH($D$170,tbl_transport[ERP identifier],0),MATCH(RP_concrete!F$16,tbl_transport[#Headers],0))</f>
        <v>0.2</v>
      </c>
      <c r="I170" s="5">
        <f>VLOOKUP($D170,tbl_ERP[],7,0)</f>
        <v>18325079790826.645</v>
      </c>
      <c r="J170" s="39">
        <f>INDEX(tbl_transport[],MATCH($D$170,tbl_transport[ERP identifier],0),MATCH(RP_concrete!I$16,tbl_transport[#Headers],0))</f>
        <v>0.2</v>
      </c>
      <c r="L170" s="5">
        <f>VLOOKUP($D170,tbl_ERP[],7,0)</f>
        <v>18325079790826.645</v>
      </c>
      <c r="M170" s="39" t="e">
        <f>INDEX(tbl_transport[],MATCH($D$170,tbl_transport[ERP identifier],0),MATCH(RP_concrete!L$16,tbl_transport[#Headers],0))</f>
        <v>#N/A</v>
      </c>
      <c r="O170" s="5">
        <f>VLOOKUP($D170,tbl_ERP[],7,0)</f>
        <v>18325079790826.645</v>
      </c>
      <c r="P170" s="39" t="e">
        <f>INDEX(tbl_transport[],MATCH($D$170,tbl_transport[ERP identifier],0),MATCH(RP_concrete!O$16,tbl_transport[#Headers],0))</f>
        <v>#N/A</v>
      </c>
      <c r="R170" s="5">
        <f>VLOOKUP($D170,tbl_ERP[],7,0)</f>
        <v>18325079790826.645</v>
      </c>
      <c r="S170" s="39" t="e">
        <f>INDEX(tbl_transport[],MATCH($D$170,tbl_transport[ERP identifier],0),MATCH(RP_concrete!R$16,tbl_transport[#Headers],0))</f>
        <v>#N/A</v>
      </c>
    </row>
    <row r="171" spans="1:20" x14ac:dyDescent="0.55000000000000004">
      <c r="A171" s="90"/>
      <c r="B171" s="25"/>
      <c r="D171" t="s">
        <v>122</v>
      </c>
      <c r="E171" s="46" t="s">
        <v>104</v>
      </c>
      <c r="F171" s="5">
        <f>VLOOKUP($D171,tbl_ERP[],7,0)</f>
        <v>69650235049065.984</v>
      </c>
      <c r="G171" s="39">
        <f>INDEX(tbl_transport[],MATCH($D$171,tbl_transport[ERP identifier],0),MATCH(RP_concrete!F$16,tbl_transport[#Headers],0))</f>
        <v>0.8</v>
      </c>
      <c r="I171" s="5">
        <f>VLOOKUP($D171,tbl_ERP[],7,0)</f>
        <v>69650235049065.984</v>
      </c>
      <c r="J171" s="39">
        <f>INDEX(tbl_transport[],MATCH($D$171,tbl_transport[ERP identifier],0),MATCH(RP_concrete!I$16,tbl_transport[#Headers],0))</f>
        <v>0.8</v>
      </c>
      <c r="L171" s="5">
        <f>VLOOKUP($D171,tbl_ERP[],7,0)</f>
        <v>69650235049065.984</v>
      </c>
      <c r="M171" s="39" t="e">
        <f>INDEX(tbl_transport[],MATCH($D$171,tbl_transport[ERP identifier],0),MATCH(RP_concrete!L$16,tbl_transport[#Headers],0))</f>
        <v>#N/A</v>
      </c>
      <c r="O171" s="5">
        <f>VLOOKUP($D171,tbl_ERP[],7,0)</f>
        <v>69650235049065.984</v>
      </c>
      <c r="P171" s="39" t="e">
        <f>INDEX(tbl_transport[],MATCH($D$171,tbl_transport[ERP identifier],0),MATCH(RP_concrete!O$16,tbl_transport[#Headers],0))</f>
        <v>#N/A</v>
      </c>
      <c r="R171" s="5">
        <f>VLOOKUP($D171,tbl_ERP[],7,0)</f>
        <v>69650235049065.984</v>
      </c>
      <c r="S171" s="39" t="e">
        <f>INDEX(tbl_transport[],MATCH($D$171,tbl_transport[ERP identifier],0),MATCH(RP_concrete!R$16,tbl_transport[#Headers],0))</f>
        <v>#N/A</v>
      </c>
    </row>
    <row r="172" spans="1:20" x14ac:dyDescent="0.55000000000000004">
      <c r="A172" s="90"/>
      <c r="B172" s="25"/>
      <c r="D172" t="s">
        <v>123</v>
      </c>
      <c r="E172" s="46" t="s">
        <v>104</v>
      </c>
      <c r="F172" s="5">
        <f>VLOOKUP($D172,tbl_ERP[],7,0)</f>
        <v>3442565475385.4912</v>
      </c>
      <c r="G172" s="39">
        <f>INDEX(tbl_transport[],MATCH($D$172,tbl_transport[ERP identifier],0),MATCH(RP_concrete!F$16,tbl_transport[#Headers],0))</f>
        <v>0</v>
      </c>
      <c r="I172" s="5">
        <f>VLOOKUP($D172,tbl_ERP[],7,0)</f>
        <v>3442565475385.4912</v>
      </c>
      <c r="J172" s="39">
        <f>INDEX(tbl_transport[],MATCH($D$172,tbl_transport[ERP identifier],0),MATCH(RP_concrete!I$16,tbl_transport[#Headers],0))</f>
        <v>0</v>
      </c>
      <c r="L172" s="5">
        <f>VLOOKUP($D172,tbl_ERP[],7,0)</f>
        <v>3442565475385.4912</v>
      </c>
      <c r="M172" s="39" t="e">
        <f>INDEX(tbl_transport[],MATCH($D$172,tbl_transport[ERP identifier],0),MATCH(RP_concrete!L$16,tbl_transport[#Headers],0))</f>
        <v>#N/A</v>
      </c>
      <c r="O172" s="5">
        <f>VLOOKUP($D172,tbl_ERP[],7,0)</f>
        <v>3442565475385.4912</v>
      </c>
      <c r="P172" s="39" t="e">
        <f>INDEX(tbl_transport[],MATCH($D$172,tbl_transport[ERP identifier],0),MATCH(RP_concrete!O$16,tbl_transport[#Headers],0))</f>
        <v>#N/A</v>
      </c>
      <c r="R172" s="5">
        <f>VLOOKUP($D172,tbl_ERP[],7,0)</f>
        <v>3442565475385.4912</v>
      </c>
      <c r="S172" s="39" t="e">
        <f>INDEX(tbl_transport[],MATCH($D$172,tbl_transport[ERP identifier],0),MATCH(RP_concrete!R$16,tbl_transport[#Headers],0))</f>
        <v>#N/A</v>
      </c>
    </row>
    <row r="173" spans="1:20" x14ac:dyDescent="0.55000000000000004">
      <c r="A173" s="90"/>
      <c r="B173" s="25"/>
      <c r="D173" t="s">
        <v>124</v>
      </c>
      <c r="E173" s="46" t="s">
        <v>104</v>
      </c>
      <c r="F173" s="5">
        <f>VLOOKUP($D173,tbl_ERP[],7,0)</f>
        <v>90703359848000.953</v>
      </c>
      <c r="G173" s="39">
        <f>INDEX(tbl_transport[],MATCH($D$173,tbl_transport[ERP identifier],0),MATCH(RP_concrete!F$16,tbl_transport[#Headers],0))</f>
        <v>0</v>
      </c>
      <c r="I173" s="5">
        <f>VLOOKUP($D173,tbl_ERP[],7,0)</f>
        <v>90703359848000.953</v>
      </c>
      <c r="J173" s="39">
        <f>INDEX(tbl_transport[],MATCH($D$173,tbl_transport[ERP identifier],0),MATCH(RP_concrete!I$16,tbl_transport[#Headers],0))</f>
        <v>0</v>
      </c>
      <c r="L173" s="5">
        <f>VLOOKUP($D173,tbl_ERP[],7,0)</f>
        <v>90703359848000.953</v>
      </c>
      <c r="M173" s="39" t="e">
        <f>INDEX(tbl_transport[],MATCH($D$173,tbl_transport[ERP identifier],0),MATCH(RP_concrete!L$16,tbl_transport[#Headers],0))</f>
        <v>#N/A</v>
      </c>
      <c r="O173" s="5">
        <f>VLOOKUP($D173,tbl_ERP[],7,0)</f>
        <v>90703359848000.953</v>
      </c>
      <c r="P173" s="39" t="e">
        <f>INDEX(tbl_transport[],MATCH($D$173,tbl_transport[ERP identifier],0),MATCH(RP_concrete!O$16,tbl_transport[#Headers],0))</f>
        <v>#N/A</v>
      </c>
      <c r="R173" s="5">
        <f>VLOOKUP($D173,tbl_ERP[],7,0)</f>
        <v>90703359848000.953</v>
      </c>
      <c r="S173" s="39" t="e">
        <f>INDEX(tbl_transport[],MATCH($D$173,tbl_transport[ERP identifier],0),MATCH(RP_concrete!R$16,tbl_transport[#Headers],0))</f>
        <v>#N/A</v>
      </c>
    </row>
    <row r="174" spans="1:20" x14ac:dyDescent="0.55000000000000004">
      <c r="A174" s="90"/>
      <c r="B174" s="25"/>
      <c r="D174" t="s">
        <v>125</v>
      </c>
      <c r="E174" s="46" t="s">
        <v>104</v>
      </c>
      <c r="F174" s="5">
        <f>VLOOKUP($D174,tbl_ERP[],7,0)</f>
        <v>961118746103.06384</v>
      </c>
      <c r="G174" s="39">
        <f>INDEX(tbl_transport[],MATCH($D$174,tbl_transport[ERP identifier],0),MATCH(RP_concrete!F$16,tbl_transport[#Headers],0))</f>
        <v>0</v>
      </c>
      <c r="I174" s="5">
        <f>VLOOKUP($D174,tbl_ERP[],7,0)</f>
        <v>961118746103.06384</v>
      </c>
      <c r="J174" s="39">
        <f>INDEX(tbl_transport[],MATCH($D$174,tbl_transport[ERP identifier],0),MATCH(RP_concrete!I$16,tbl_transport[#Headers],0))</f>
        <v>0</v>
      </c>
      <c r="L174" s="5">
        <f>VLOOKUP($D174,tbl_ERP[],7,0)</f>
        <v>961118746103.06384</v>
      </c>
      <c r="M174" s="39" t="e">
        <f>INDEX(tbl_transport[],MATCH($D$174,tbl_transport[ERP identifier],0),MATCH(RP_concrete!L$16,tbl_transport[#Headers],0))</f>
        <v>#N/A</v>
      </c>
      <c r="O174" s="5">
        <f>VLOOKUP($D174,tbl_ERP[],7,0)</f>
        <v>961118746103.06384</v>
      </c>
      <c r="P174" s="39" t="e">
        <f>INDEX(tbl_transport[],MATCH($D$174,tbl_transport[ERP identifier],0),MATCH(RP_concrete!O$16,tbl_transport[#Headers],0))</f>
        <v>#N/A</v>
      </c>
      <c r="R174" s="5">
        <f>VLOOKUP($D174,tbl_ERP[],7,0)</f>
        <v>961118746103.06384</v>
      </c>
      <c r="S174" s="39" t="e">
        <f>INDEX(tbl_transport[],MATCH($D$174,tbl_transport[ERP identifier],0),MATCH(RP_concrete!R$16,tbl_transport[#Headers],0))</f>
        <v>#N/A</v>
      </c>
    </row>
    <row r="175" spans="1:20" x14ac:dyDescent="0.55000000000000004">
      <c r="A175" s="90"/>
      <c r="B175" s="25"/>
    </row>
    <row r="176" spans="1:20" x14ac:dyDescent="0.55000000000000004">
      <c r="A176" s="90"/>
      <c r="B176" s="25"/>
      <c r="C176" s="1" t="s">
        <v>66</v>
      </c>
      <c r="D176" s="1" t="s">
        <v>203</v>
      </c>
      <c r="E176" s="46" t="s">
        <v>105</v>
      </c>
      <c r="F176" s="39">
        <f>(F$27+F$55+F$83+F$111)/1000*INDEX(tbl_sleeper[],MATCH($A$3,tbl_sleeper[sleeper type],0),MATCH(RP_concrete!$D$176,tbl_sleeper[#Headers],0))</f>
        <v>0</v>
      </c>
      <c r="I176" s="39">
        <f>(I$27+I$55+I$83+I$111)/1000*INDEX(tbl_sleeper[],MATCH($A$3,tbl_sleeper[sleeper type],0),MATCH(RP_concrete!$D$176,tbl_sleeper[#Headers],0))</f>
        <v>0</v>
      </c>
      <c r="L176" s="39" t="e">
        <f>(L$27+L$55+L$83+L$111)/1000*INDEX(tbl_sleeper[],MATCH($A$3,tbl_sleeper[sleeper type],0),MATCH(RP_concrete!$D$176,tbl_sleeper[#Headers],0))</f>
        <v>#N/A</v>
      </c>
      <c r="O176" s="39" t="e">
        <f>(O$27+O$55+O$83+O$111)/1000*INDEX(tbl_sleeper[],MATCH($A$3,tbl_sleeper[sleeper type],0),MATCH(RP_concrete!$D$176,tbl_sleeper[#Headers],0))</f>
        <v>#N/A</v>
      </c>
      <c r="R176" s="39" t="e">
        <f>(R$27+R$55+R$83+R$111)/1000*INDEX(tbl_sleeper[],MATCH($A$3,tbl_sleeper[sleeper type],0),MATCH(RP_concrete!$D$176,tbl_sleeper[#Headers],0))</f>
        <v>#N/A</v>
      </c>
    </row>
    <row r="177" spans="1:19" x14ac:dyDescent="0.55000000000000004">
      <c r="A177" s="90"/>
      <c r="B177" s="25"/>
      <c r="C177" s="1" t="s">
        <v>66</v>
      </c>
      <c r="D177" s="1" t="s">
        <v>204</v>
      </c>
      <c r="E177" s="46" t="s">
        <v>105</v>
      </c>
      <c r="F177" s="39">
        <f>(F$27+F$55+F$83+F$111)/1000*INDEX(tbl_sleeper[],MATCH($A$3,tbl_sleeper[sleeper type],0),MATCH(RP_concrete!$D$177,tbl_sleeper[#Headers],0))</f>
        <v>44.25</v>
      </c>
      <c r="I177" s="39">
        <f>(I$27+I$55+I$83+I$111)/1000*INDEX(tbl_sleeper[],MATCH($A$3,tbl_sleeper[sleeper type],0),MATCH(RP_concrete!$D$177,tbl_sleeper[#Headers],0))</f>
        <v>44.25</v>
      </c>
      <c r="L177" s="39" t="e">
        <f>(L$27+L$55+L$83+L$111)/1000*INDEX(tbl_sleeper[],MATCH($A$3,tbl_sleeper[sleeper type],0),MATCH(RP_concrete!$D$177,tbl_sleeper[#Headers],0))</f>
        <v>#N/A</v>
      </c>
      <c r="O177" s="39" t="e">
        <f>(O$27+O$55+O$83+O$111)/1000*INDEX(tbl_sleeper[],MATCH($A$3,tbl_sleeper[sleeper type],0),MATCH(RP_concrete!$D$177,tbl_sleeper[#Headers],0))</f>
        <v>#N/A</v>
      </c>
      <c r="R177" s="39" t="e">
        <f>(R$27+R$55+R$83+R$111)/1000*INDEX(tbl_sleeper[],MATCH($A$3,tbl_sleeper[sleeper type],0),MATCH(RP_concrete!$D$177,tbl_sleeper[#Headers],0))</f>
        <v>#N/A</v>
      </c>
    </row>
    <row r="178" spans="1:19" x14ac:dyDescent="0.55000000000000004">
      <c r="A178" s="90"/>
      <c r="C178" s="1" t="s">
        <v>66</v>
      </c>
      <c r="D178" s="1" t="s">
        <v>106</v>
      </c>
      <c r="E178" s="46" t="s">
        <v>105</v>
      </c>
      <c r="F178" s="26">
        <f>SUM(F176:F177)</f>
        <v>44.25</v>
      </c>
      <c r="I178" s="26">
        <f>SUM(I176:I177)</f>
        <v>44.25</v>
      </c>
      <c r="L178" s="26" t="e">
        <f>SUM(L176:L177)</f>
        <v>#N/A</v>
      </c>
      <c r="O178" s="26" t="e">
        <f>SUM(O176:O177)</f>
        <v>#N/A</v>
      </c>
      <c r="R178" s="26" t="e">
        <f>SUM(R176:R177)</f>
        <v>#N/A</v>
      </c>
    </row>
    <row r="179" spans="1:19" x14ac:dyDescent="0.55000000000000004">
      <c r="A179" s="90"/>
    </row>
    <row r="180" spans="1:19" ht="19.8" x14ac:dyDescent="0.65">
      <c r="A180" s="90"/>
      <c r="B180" s="9" t="s">
        <v>31</v>
      </c>
      <c r="C180" s="3" t="s">
        <v>43</v>
      </c>
      <c r="D180" s="1" t="s">
        <v>160</v>
      </c>
      <c r="E180" s="25" t="s">
        <v>1</v>
      </c>
      <c r="F180" s="6">
        <f>F178/lifetime_concrete*(G170/F170+G171/F171+G172/F172+G173/F173+G174/F174)</f>
        <v>2.4779963486885042E-14</v>
      </c>
      <c r="I180" s="6">
        <f>I178/lifetime_concrete*(J170/I170+J171/I171+J172/I172+J173/I173+J174/I174)</f>
        <v>2.4779963486885042E-14</v>
      </c>
      <c r="L180" s="6" t="e">
        <f>L178/lifetime_concrete*(M170/L170+M171/L171+M172/L172+M173/L173+M174/L174)</f>
        <v>#N/A</v>
      </c>
      <c r="O180" s="6" t="e">
        <f>O178/lifetime_concrete*(P170/O170+P171/O171+P172/O172+P173/O173+P174/O174)</f>
        <v>#N/A</v>
      </c>
      <c r="R180" s="6" t="e">
        <f>R178/lifetime_concrete*(S170/R170+S171/R171+S172/R172+S173/R173+S174/R174)</f>
        <v>#N/A</v>
      </c>
    </row>
    <row r="183" spans="1:19" x14ac:dyDescent="0.55000000000000004">
      <c r="A183" s="90" t="s">
        <v>161</v>
      </c>
      <c r="B183" s="46" t="s">
        <v>107</v>
      </c>
      <c r="C183" s="1" t="s">
        <v>42</v>
      </c>
      <c r="G183" s="1" t="s">
        <v>67</v>
      </c>
      <c r="J183" s="1" t="s">
        <v>67</v>
      </c>
      <c r="M183" s="1" t="s">
        <v>67</v>
      </c>
      <c r="P183" s="1" t="s">
        <v>67</v>
      </c>
      <c r="S183" s="1" t="s">
        <v>67</v>
      </c>
    </row>
    <row r="184" spans="1:19" x14ac:dyDescent="0.55000000000000004">
      <c r="A184" s="90"/>
      <c r="B184" s="25" t="s">
        <v>10</v>
      </c>
      <c r="C184" s="1" t="s">
        <v>26</v>
      </c>
      <c r="D184" t="s">
        <v>121</v>
      </c>
      <c r="E184" s="46" t="s">
        <v>104</v>
      </c>
      <c r="F184" s="5">
        <f>VLOOKUP($D184,tbl_ERP[],7,0)</f>
        <v>18325079790826.645</v>
      </c>
      <c r="G184" s="39">
        <f>INDEX(tbl_transport[],MATCH($D$184,tbl_transport[ERP identifier],0),MATCH(RP_concrete!F$17,tbl_transport[#Headers],0))</f>
        <v>0</v>
      </c>
      <c r="I184" s="5">
        <f>VLOOKUP($D184,tbl_ERP[],7,0)</f>
        <v>18325079790826.645</v>
      </c>
      <c r="J184" s="39">
        <f>INDEX(tbl_transport[],MATCH($D$184,tbl_transport[ERP identifier],0),MATCH(RP_concrete!I$17,tbl_transport[#Headers],0))</f>
        <v>0</v>
      </c>
      <c r="L184" s="5">
        <f>VLOOKUP($D184,tbl_ERP[],7,0)</f>
        <v>18325079790826.645</v>
      </c>
      <c r="M184" s="39" t="e">
        <f>INDEX(tbl_transport[],MATCH($D$184,tbl_transport[ERP identifier],0),MATCH(RP_concrete!L$17,tbl_transport[#Headers],0))</f>
        <v>#N/A</v>
      </c>
      <c r="O184" s="5">
        <f>VLOOKUP($D184,tbl_ERP[],7,0)</f>
        <v>18325079790826.645</v>
      </c>
      <c r="P184" s="39" t="e">
        <f>INDEX(tbl_transport[],MATCH($D$184,tbl_transport[ERP identifier],0),MATCH(RP_concrete!O$17,tbl_transport[#Headers],0))</f>
        <v>#N/A</v>
      </c>
      <c r="R184" s="5">
        <f>VLOOKUP($D184,tbl_ERP[],7,0)</f>
        <v>18325079790826.645</v>
      </c>
      <c r="S184" s="39" t="e">
        <f>INDEX(tbl_transport[],MATCH($D$184,tbl_transport[ERP identifier],0),MATCH(RP_concrete!R$17,tbl_transport[#Headers],0))</f>
        <v>#N/A</v>
      </c>
    </row>
    <row r="185" spans="1:19" x14ac:dyDescent="0.55000000000000004">
      <c r="A185" s="90"/>
      <c r="B185" s="25"/>
      <c r="D185" t="s">
        <v>122</v>
      </c>
      <c r="E185" s="46" t="s">
        <v>104</v>
      </c>
      <c r="F185" s="5">
        <f>VLOOKUP($D185,tbl_ERP[],7,0)</f>
        <v>69650235049065.984</v>
      </c>
      <c r="G185" s="39">
        <f>INDEX(tbl_transport[],MATCH($D$185,tbl_transport[ERP identifier],0),MATCH(RP_concrete!F$17,tbl_transport[#Headers],0))</f>
        <v>0.5</v>
      </c>
      <c r="I185" s="5">
        <f>VLOOKUP($D185,tbl_ERP[],7,0)</f>
        <v>69650235049065.984</v>
      </c>
      <c r="J185" s="39">
        <f>INDEX(tbl_transport[],MATCH($D$185,tbl_transport[ERP identifier],0),MATCH(RP_concrete!I$17,tbl_transport[#Headers],0))</f>
        <v>0.5</v>
      </c>
      <c r="L185" s="5">
        <f>VLOOKUP($D185,tbl_ERP[],7,0)</f>
        <v>69650235049065.984</v>
      </c>
      <c r="M185" s="39" t="e">
        <f>INDEX(tbl_transport[],MATCH($D$185,tbl_transport[ERP identifier],0),MATCH(RP_concrete!L$17,tbl_transport[#Headers],0))</f>
        <v>#N/A</v>
      </c>
      <c r="O185" s="5">
        <f>VLOOKUP($D185,tbl_ERP[],7,0)</f>
        <v>69650235049065.984</v>
      </c>
      <c r="P185" s="39" t="e">
        <f>INDEX(tbl_transport[],MATCH($D$185,tbl_transport[ERP identifier],0),MATCH(RP_concrete!O$17,tbl_transport[#Headers],0))</f>
        <v>#N/A</v>
      </c>
      <c r="R185" s="5">
        <f>VLOOKUP($D185,tbl_ERP[],7,0)</f>
        <v>69650235049065.984</v>
      </c>
      <c r="S185" s="39" t="e">
        <f>INDEX(tbl_transport[],MATCH($D$185,tbl_transport[ERP identifier],0),MATCH(RP_concrete!R$17,tbl_transport[#Headers],0))</f>
        <v>#N/A</v>
      </c>
    </row>
    <row r="186" spans="1:19" x14ac:dyDescent="0.55000000000000004">
      <c r="A186" s="90"/>
      <c r="B186" s="25"/>
      <c r="D186" t="s">
        <v>123</v>
      </c>
      <c r="E186" s="46" t="s">
        <v>104</v>
      </c>
      <c r="F186" s="5">
        <f>VLOOKUP($D186,tbl_ERP[],7,0)</f>
        <v>3442565475385.4912</v>
      </c>
      <c r="G186" s="39">
        <f>INDEX(tbl_transport[],MATCH($D$186,tbl_transport[ERP identifier],0),MATCH(RP_concrete!F$17,tbl_transport[#Headers],0))</f>
        <v>0</v>
      </c>
      <c r="I186" s="5">
        <f>VLOOKUP($D186,tbl_ERP[],7,0)</f>
        <v>3442565475385.4912</v>
      </c>
      <c r="J186" s="39">
        <f>INDEX(tbl_transport[],MATCH($D$186,tbl_transport[ERP identifier],0),MATCH(RP_concrete!I$17,tbl_transport[#Headers],0))</f>
        <v>0</v>
      </c>
      <c r="L186" s="5">
        <f>VLOOKUP($D186,tbl_ERP[],7,0)</f>
        <v>3442565475385.4912</v>
      </c>
      <c r="M186" s="39" t="e">
        <f>INDEX(tbl_transport[],MATCH($D$186,tbl_transport[ERP identifier],0),MATCH(RP_concrete!L$17,tbl_transport[#Headers],0))</f>
        <v>#N/A</v>
      </c>
      <c r="O186" s="5">
        <f>VLOOKUP($D186,tbl_ERP[],7,0)</f>
        <v>3442565475385.4912</v>
      </c>
      <c r="P186" s="39" t="e">
        <f>INDEX(tbl_transport[],MATCH($D$186,tbl_transport[ERP identifier],0),MATCH(RP_concrete!O$17,tbl_transport[#Headers],0))</f>
        <v>#N/A</v>
      </c>
      <c r="R186" s="5">
        <f>VLOOKUP($D186,tbl_ERP[],7,0)</f>
        <v>3442565475385.4912</v>
      </c>
      <c r="S186" s="39" t="e">
        <f>INDEX(tbl_transport[],MATCH($D$186,tbl_transport[ERP identifier],0),MATCH(RP_concrete!R$17,tbl_transport[#Headers],0))</f>
        <v>#N/A</v>
      </c>
    </row>
    <row r="187" spans="1:19" x14ac:dyDescent="0.55000000000000004">
      <c r="A187" s="90"/>
      <c r="B187" s="25"/>
      <c r="D187" t="s">
        <v>124</v>
      </c>
      <c r="E187" s="46" t="s">
        <v>104</v>
      </c>
      <c r="F187" s="5">
        <f>VLOOKUP($D187,tbl_ERP[],7,0)</f>
        <v>90703359848000.953</v>
      </c>
      <c r="G187" s="39">
        <f>INDEX(tbl_transport[],MATCH($D$187,tbl_transport[ERP identifier],0),MATCH(RP_concrete!F$17,tbl_transport[#Headers],0))</f>
        <v>0.5</v>
      </c>
      <c r="I187" s="5">
        <f>VLOOKUP($D187,tbl_ERP[],7,0)</f>
        <v>90703359848000.953</v>
      </c>
      <c r="J187" s="39">
        <f>INDEX(tbl_transport[],MATCH($D$187,tbl_transport[ERP identifier],0),MATCH(RP_concrete!I$17,tbl_transport[#Headers],0))</f>
        <v>0.5</v>
      </c>
      <c r="L187" s="5">
        <f>VLOOKUP($D187,tbl_ERP[],7,0)</f>
        <v>90703359848000.953</v>
      </c>
      <c r="M187" s="39" t="e">
        <f>INDEX(tbl_transport[],MATCH($D$187,tbl_transport[ERP identifier],0),MATCH(RP_concrete!L$17,tbl_transport[#Headers],0))</f>
        <v>#N/A</v>
      </c>
      <c r="O187" s="5">
        <f>VLOOKUP($D187,tbl_ERP[],7,0)</f>
        <v>90703359848000.953</v>
      </c>
      <c r="P187" s="39" t="e">
        <f>INDEX(tbl_transport[],MATCH($D$187,tbl_transport[ERP identifier],0),MATCH(RP_concrete!O$17,tbl_transport[#Headers],0))</f>
        <v>#N/A</v>
      </c>
      <c r="R187" s="5">
        <f>VLOOKUP($D187,tbl_ERP[],7,0)</f>
        <v>90703359848000.953</v>
      </c>
      <c r="S187" s="39" t="e">
        <f>INDEX(tbl_transport[],MATCH($D$187,tbl_transport[ERP identifier],0),MATCH(RP_concrete!R$17,tbl_transport[#Headers],0))</f>
        <v>#N/A</v>
      </c>
    </row>
    <row r="188" spans="1:19" x14ac:dyDescent="0.55000000000000004">
      <c r="A188" s="90"/>
      <c r="B188" s="25"/>
      <c r="D188" t="s">
        <v>125</v>
      </c>
      <c r="E188" s="46" t="s">
        <v>104</v>
      </c>
      <c r="F188" s="5">
        <f>VLOOKUP($D188,tbl_ERP[],7,0)</f>
        <v>961118746103.06384</v>
      </c>
      <c r="G188" s="39">
        <f>INDEX(tbl_transport[],MATCH($D$188,tbl_transport[ERP identifier],0),MATCH(RP_concrete!F$17,tbl_transport[#Headers],0))</f>
        <v>0</v>
      </c>
      <c r="I188" s="5">
        <f>VLOOKUP($D188,tbl_ERP[],7,0)</f>
        <v>961118746103.06384</v>
      </c>
      <c r="J188" s="39">
        <f>INDEX(tbl_transport[],MATCH($D$188,tbl_transport[ERP identifier],0),MATCH(RP_concrete!I$17,tbl_transport[#Headers],0))</f>
        <v>0</v>
      </c>
      <c r="L188" s="5">
        <f>VLOOKUP($D188,tbl_ERP[],7,0)</f>
        <v>961118746103.06384</v>
      </c>
      <c r="M188" s="39" t="e">
        <f>INDEX(tbl_transport[],MATCH($D$188,tbl_transport[ERP identifier],0),MATCH(RP_concrete!L$17,tbl_transport[#Headers],0))</f>
        <v>#N/A</v>
      </c>
      <c r="O188" s="5">
        <f>VLOOKUP($D188,tbl_ERP[],7,0)</f>
        <v>961118746103.06384</v>
      </c>
      <c r="P188" s="39" t="e">
        <f>INDEX(tbl_transport[],MATCH($D$188,tbl_transport[ERP identifier],0),MATCH(RP_concrete!O$17,tbl_transport[#Headers],0))</f>
        <v>#N/A</v>
      </c>
      <c r="R188" s="5">
        <f>VLOOKUP($D188,tbl_ERP[],7,0)</f>
        <v>961118746103.06384</v>
      </c>
      <c r="S188" s="39" t="e">
        <f>INDEX(tbl_transport[],MATCH($D$188,tbl_transport[ERP identifier],0),MATCH(RP_concrete!R$17,tbl_transport[#Headers],0))</f>
        <v>#N/A</v>
      </c>
    </row>
    <row r="189" spans="1:19" x14ac:dyDescent="0.55000000000000004">
      <c r="A189" s="90"/>
      <c r="B189" s="25"/>
    </row>
    <row r="190" spans="1:19" x14ac:dyDescent="0.55000000000000004">
      <c r="A190" s="90"/>
      <c r="B190" s="25"/>
      <c r="C190" s="1" t="s">
        <v>66</v>
      </c>
      <c r="D190" s="1" t="s">
        <v>205</v>
      </c>
      <c r="E190" s="46" t="s">
        <v>105</v>
      </c>
      <c r="F190" s="39">
        <f>(F$27+F$55+F$83+F$111)/1000*INDEX(tbl_sleeper[],MATCH($A$3,tbl_sleeper[sleeper type],0),MATCH(RP_concrete!$D$190,tbl_sleeper[#Headers],0))</f>
        <v>0</v>
      </c>
      <c r="I190" s="39">
        <f>(I$27+I$55+I$83+I$111)/1000*INDEX(tbl_sleeper[],MATCH($A$3,tbl_sleeper[sleeper type],0),MATCH(RP_concrete!$D$190,tbl_sleeper[#Headers],0))</f>
        <v>0</v>
      </c>
      <c r="L190" s="39" t="e">
        <f>(L$27+L$55+L$83+L$111)/1000*INDEX(tbl_sleeper[],MATCH($A$3,tbl_sleeper[sleeper type],0),MATCH(RP_concrete!$D$190,tbl_sleeper[#Headers],0))</f>
        <v>#N/A</v>
      </c>
      <c r="O190" s="39" t="e">
        <f>(O$27+O$55+O$83+O$111)/1000*INDEX(tbl_sleeper[],MATCH($A$3,tbl_sleeper[sleeper type],0),MATCH(RP_concrete!$D$190,tbl_sleeper[#Headers],0))</f>
        <v>#N/A</v>
      </c>
      <c r="R190" s="39" t="e">
        <f>(R$27+R$55+R$83+R$111)/1000*INDEX(tbl_sleeper[],MATCH($A$3,tbl_sleeper[sleeper type],0),MATCH(RP_concrete!$D$190,tbl_sleeper[#Headers],0))</f>
        <v>#N/A</v>
      </c>
    </row>
    <row r="191" spans="1:19" x14ac:dyDescent="0.55000000000000004">
      <c r="A191" s="90"/>
      <c r="C191" s="1" t="s">
        <v>66</v>
      </c>
      <c r="D191" s="1" t="s">
        <v>106</v>
      </c>
      <c r="E191" s="46" t="s">
        <v>105</v>
      </c>
      <c r="F191" s="26">
        <f>SUM(F190)</f>
        <v>0</v>
      </c>
      <c r="I191" s="26">
        <f>SUM(I190)</f>
        <v>0</v>
      </c>
      <c r="L191" s="26" t="e">
        <f>SUM(L190)</f>
        <v>#N/A</v>
      </c>
      <c r="O191" s="26" t="e">
        <f>SUM(O190)</f>
        <v>#N/A</v>
      </c>
      <c r="R191" s="26" t="e">
        <f>SUM(R190)</f>
        <v>#N/A</v>
      </c>
    </row>
    <row r="192" spans="1:19" x14ac:dyDescent="0.55000000000000004">
      <c r="A192" s="90"/>
    </row>
    <row r="193" spans="1:18" ht="19.8" x14ac:dyDescent="0.65">
      <c r="A193" s="90"/>
      <c r="B193" s="9" t="s">
        <v>31</v>
      </c>
      <c r="C193" s="3" t="s">
        <v>43</v>
      </c>
      <c r="D193" s="1" t="s">
        <v>161</v>
      </c>
      <c r="E193" s="25" t="s">
        <v>1</v>
      </c>
      <c r="F193" s="6">
        <f>F191/lifetime_concrete*(G184/F184+G185/F185+G186/F186+G187/F187+G188/F188)</f>
        <v>0</v>
      </c>
      <c r="I193" s="6">
        <f>I191/lifetime_concrete*(J184/I184+J185/I185+J186/I186+J187/I187+J188/I188)</f>
        <v>0</v>
      </c>
      <c r="L193" s="6" t="e">
        <f>L191/lifetime_concrete*(M184/L184+M185/L185+M186/L186+M187/L187+M188/L188)</f>
        <v>#N/A</v>
      </c>
      <c r="O193" s="6" t="e">
        <f>O191/lifetime_concrete*(P184/O184+P185/O185+P186/O186+P187/O187+P188/O188)</f>
        <v>#N/A</v>
      </c>
      <c r="R193" s="6" t="e">
        <f>R191/lifetime_concrete*(S184/R184+S185/R185+S186/R186+S187/R187+S188/R188)</f>
        <v>#N/A</v>
      </c>
    </row>
  </sheetData>
  <mergeCells count="28">
    <mergeCell ref="A77:A102"/>
    <mergeCell ref="B80:B81"/>
    <mergeCell ref="B83:B86"/>
    <mergeCell ref="B88:B91"/>
    <mergeCell ref="B93:B96"/>
    <mergeCell ref="B98:B100"/>
    <mergeCell ref="A21:A46"/>
    <mergeCell ref="B24:B25"/>
    <mergeCell ref="B27:B30"/>
    <mergeCell ref="B32:B35"/>
    <mergeCell ref="B37:B40"/>
    <mergeCell ref="B42:B44"/>
    <mergeCell ref="A133:A151"/>
    <mergeCell ref="A154:A166"/>
    <mergeCell ref="A169:A180"/>
    <mergeCell ref="A183:A193"/>
    <mergeCell ref="A105:A130"/>
    <mergeCell ref="A49:A74"/>
    <mergeCell ref="B52:B53"/>
    <mergeCell ref="B55:B58"/>
    <mergeCell ref="B60:B63"/>
    <mergeCell ref="B65:B68"/>
    <mergeCell ref="B70:B72"/>
    <mergeCell ref="B108:B109"/>
    <mergeCell ref="B111:B114"/>
    <mergeCell ref="B116:B119"/>
    <mergeCell ref="B121:B124"/>
    <mergeCell ref="B126:B128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T137"/>
  <sheetViews>
    <sheetView zoomScale="115" zoomScaleNormal="115" workbookViewId="0">
      <pane xSplit="5" ySplit="18" topLeftCell="F70" activePane="bottomRight" state="frozen"/>
      <selection pane="topRight" activeCell="C1" sqref="C1"/>
      <selection pane="bottomLeft" activeCell="A3" sqref="A3"/>
      <selection pane="bottomRight" activeCell="R48" sqref="R48"/>
    </sheetView>
  </sheetViews>
  <sheetFormatPr defaultColWidth="11.578125" defaultRowHeight="14.4" x14ac:dyDescent="0.55000000000000004"/>
  <cols>
    <col min="1" max="1" width="5.83984375" style="1" customWidth="1"/>
    <col min="2" max="2" width="8.15625" style="1" customWidth="1"/>
    <col min="3" max="3" width="30.15625" style="1" bestFit="1" customWidth="1"/>
    <col min="4" max="4" width="44.578125" style="1" bestFit="1" customWidth="1"/>
    <col min="5" max="5" width="6.578125" style="46" customWidth="1"/>
    <col min="6" max="6" width="16.578125" style="1" customWidth="1"/>
    <col min="7" max="7" width="9" style="1" customWidth="1"/>
    <col min="8" max="8" width="2.578125" style="1" customWidth="1"/>
    <col min="9" max="9" width="16.578125" style="1" customWidth="1"/>
    <col min="10" max="10" width="11" style="1" bestFit="1" customWidth="1"/>
    <col min="11" max="11" width="2.578125" style="1" customWidth="1"/>
    <col min="12" max="12" width="16.578125" style="1" customWidth="1"/>
    <col min="13" max="13" width="8.578125" style="1" customWidth="1"/>
    <col min="14" max="14" width="2.578125" style="1" customWidth="1"/>
    <col min="15" max="15" width="16.578125" style="1" customWidth="1"/>
    <col min="16" max="16" width="8.578125" style="1" customWidth="1"/>
    <col min="17" max="17" width="2.578125" style="1" customWidth="1"/>
    <col min="18" max="18" width="16.578125" style="1" customWidth="1"/>
    <col min="19" max="19" width="8.578125" style="1" customWidth="1"/>
    <col min="20" max="20" width="2.578125" style="1" customWidth="1"/>
    <col min="21" max="16384" width="11.578125" style="1"/>
  </cols>
  <sheetData>
    <row r="1" spans="1:20" s="8" customFormat="1" x14ac:dyDescent="0.55000000000000004">
      <c r="A1" s="8" t="s">
        <v>27</v>
      </c>
      <c r="E1" s="12"/>
    </row>
    <row r="2" spans="1:20" x14ac:dyDescent="0.55000000000000004">
      <c r="C2" s="3"/>
    </row>
    <row r="3" spans="1:20" ht="14.5" customHeight="1" x14ac:dyDescent="0.55000000000000004">
      <c r="A3" s="58" t="s">
        <v>178</v>
      </c>
      <c r="B3" s="58"/>
      <c r="C3" s="3"/>
      <c r="D3" s="3" t="s">
        <v>37</v>
      </c>
      <c r="F3" s="59" t="s">
        <v>214</v>
      </c>
      <c r="I3" s="59" t="s">
        <v>215</v>
      </c>
      <c r="L3" s="59" t="s">
        <v>297</v>
      </c>
      <c r="O3" s="59" t="s">
        <v>298</v>
      </c>
      <c r="R3" s="59" t="s">
        <v>299</v>
      </c>
    </row>
    <row r="4" spans="1:20" ht="14.5" customHeight="1" x14ac:dyDescent="0.55000000000000004">
      <c r="D4" s="1" t="s">
        <v>29</v>
      </c>
      <c r="F4" s="58" t="s">
        <v>315</v>
      </c>
      <c r="I4" s="58" t="s">
        <v>316</v>
      </c>
      <c r="L4" s="58" t="s">
        <v>317</v>
      </c>
      <c r="O4" s="58" t="s">
        <v>318</v>
      </c>
      <c r="R4" s="58" t="s">
        <v>319</v>
      </c>
    </row>
    <row r="5" spans="1:20" s="27" customFormat="1" x14ac:dyDescent="0.55000000000000004">
      <c r="A5"/>
      <c r="B5" s="1"/>
      <c r="C5" s="1"/>
      <c r="D5" s="27" t="s">
        <v>7</v>
      </c>
      <c r="E5" s="28"/>
      <c r="F5" s="35" t="s">
        <v>140</v>
      </c>
      <c r="G5" s="30"/>
      <c r="H5" s="30"/>
      <c r="I5" s="35" t="s">
        <v>141</v>
      </c>
      <c r="J5" s="30"/>
      <c r="K5" s="30"/>
      <c r="L5" s="35" t="s">
        <v>141</v>
      </c>
      <c r="M5" s="30"/>
      <c r="N5" s="30"/>
      <c r="O5" s="35" t="s">
        <v>141</v>
      </c>
      <c r="P5" s="30"/>
      <c r="Q5" s="30"/>
      <c r="R5" s="35" t="s">
        <v>140</v>
      </c>
      <c r="S5" s="30"/>
      <c r="T5" s="30"/>
    </row>
    <row r="6" spans="1:20" x14ac:dyDescent="0.55000000000000004">
      <c r="A6"/>
      <c r="D6" s="1" t="s">
        <v>211</v>
      </c>
      <c r="F6" s="36" t="s">
        <v>142</v>
      </c>
      <c r="G6" s="31"/>
      <c r="H6" s="31"/>
      <c r="I6" s="36" t="s">
        <v>143</v>
      </c>
      <c r="J6" s="31"/>
      <c r="K6" s="31"/>
      <c r="L6" s="36" t="s">
        <v>143</v>
      </c>
      <c r="M6" s="31"/>
      <c r="N6" s="31"/>
      <c r="O6" s="36" t="s">
        <v>143</v>
      </c>
      <c r="P6" s="31"/>
      <c r="Q6" s="31"/>
      <c r="R6" s="36" t="s">
        <v>142</v>
      </c>
      <c r="S6" s="31"/>
      <c r="T6" s="31"/>
    </row>
    <row r="7" spans="1:20" x14ac:dyDescent="0.55000000000000004">
      <c r="D7" s="1" t="s">
        <v>212</v>
      </c>
      <c r="F7" s="36" t="s">
        <v>144</v>
      </c>
      <c r="G7" s="31"/>
      <c r="H7" s="31"/>
      <c r="I7" s="36" t="s">
        <v>145</v>
      </c>
      <c r="J7" s="31"/>
      <c r="K7" s="31"/>
      <c r="L7" s="36" t="s">
        <v>145</v>
      </c>
      <c r="M7" s="31"/>
      <c r="N7" s="31"/>
      <c r="O7" s="36" t="s">
        <v>145</v>
      </c>
      <c r="P7" s="31"/>
      <c r="Q7" s="31"/>
      <c r="R7" s="36" t="s">
        <v>144</v>
      </c>
      <c r="S7" s="31"/>
      <c r="T7" s="31"/>
    </row>
    <row r="8" spans="1:20" s="20" customFormat="1" ht="15" customHeight="1" x14ac:dyDescent="0.55000000000000004">
      <c r="A8" s="1"/>
      <c r="B8" s="1"/>
      <c r="C8" s="1"/>
      <c r="D8" s="20" t="s">
        <v>213</v>
      </c>
      <c r="E8" s="21"/>
      <c r="F8" s="37" t="s">
        <v>146</v>
      </c>
      <c r="G8" s="32"/>
      <c r="H8" s="32"/>
      <c r="I8" s="37" t="s">
        <v>147</v>
      </c>
      <c r="J8" s="32"/>
      <c r="K8" s="32"/>
      <c r="L8" s="37" t="s">
        <v>147</v>
      </c>
      <c r="M8" s="32"/>
      <c r="N8" s="32"/>
      <c r="O8" s="37" t="s">
        <v>147</v>
      </c>
      <c r="P8" s="32"/>
      <c r="Q8" s="32"/>
      <c r="R8" s="37" t="s">
        <v>146</v>
      </c>
      <c r="S8" s="32"/>
      <c r="T8" s="32"/>
    </row>
    <row r="9" spans="1:20" s="18" customFormat="1" ht="14.5" customHeight="1" x14ac:dyDescent="0.65">
      <c r="A9" s="1"/>
      <c r="B9" s="1"/>
      <c r="C9" s="1"/>
      <c r="E9" s="19"/>
      <c r="G9" s="33" t="s">
        <v>31</v>
      </c>
      <c r="H9" s="33"/>
      <c r="J9" s="33" t="s">
        <v>31</v>
      </c>
      <c r="K9" s="33"/>
      <c r="M9" s="33" t="s">
        <v>31</v>
      </c>
      <c r="N9" s="33"/>
      <c r="P9" s="33" t="s">
        <v>31</v>
      </c>
      <c r="Q9" s="33"/>
      <c r="S9" s="33" t="s">
        <v>31</v>
      </c>
      <c r="T9" s="33"/>
    </row>
    <row r="10" spans="1:20" customFormat="1" x14ac:dyDescent="0.55000000000000004">
      <c r="A10" s="1"/>
      <c r="B10" s="1"/>
      <c r="C10" s="1"/>
      <c r="D10" s="1" t="s">
        <v>170</v>
      </c>
      <c r="E10" s="46"/>
      <c r="F10" s="36" t="s">
        <v>179</v>
      </c>
      <c r="G10" s="5">
        <f>F46</f>
        <v>9.2134868624090319E-12</v>
      </c>
      <c r="H10" s="5"/>
      <c r="I10" s="36" t="s">
        <v>179</v>
      </c>
      <c r="J10" s="5">
        <f>I46</f>
        <v>1.0034490642227668E-12</v>
      </c>
      <c r="K10" s="5"/>
      <c r="L10" s="36" t="s">
        <v>179</v>
      </c>
      <c r="M10" s="5">
        <f>L46</f>
        <v>6.6896604281517763E-13</v>
      </c>
      <c r="N10" s="5"/>
      <c r="O10" s="36" t="s">
        <v>179</v>
      </c>
      <c r="P10" s="5">
        <f>O46</f>
        <v>5.017245321113834E-13</v>
      </c>
      <c r="Q10" s="5"/>
      <c r="R10" s="36" t="s">
        <v>179</v>
      </c>
      <c r="S10" s="5">
        <f>R46</f>
        <v>4.606743431204516E-12</v>
      </c>
      <c r="T10" s="5"/>
    </row>
    <row r="11" spans="1:20" customFormat="1" x14ac:dyDescent="0.55000000000000004">
      <c r="A11" s="1"/>
      <c r="B11" s="1"/>
      <c r="C11" s="1"/>
      <c r="D11" s="1" t="s">
        <v>186</v>
      </c>
      <c r="E11" s="46"/>
      <c r="F11" s="36" t="s">
        <v>248</v>
      </c>
      <c r="G11" s="5">
        <f>F74</f>
        <v>2.6448777795453965E-12</v>
      </c>
      <c r="H11" s="5"/>
      <c r="I11" s="36" t="s">
        <v>248</v>
      </c>
      <c r="J11" s="5">
        <f>I74</f>
        <v>4.7791108392775757E-13</v>
      </c>
      <c r="K11" s="5"/>
      <c r="L11" s="36" t="s">
        <v>248</v>
      </c>
      <c r="M11" s="5">
        <f>L74</f>
        <v>3.1860738928517168E-13</v>
      </c>
      <c r="N11" s="5"/>
      <c r="O11" s="36" t="s">
        <v>248</v>
      </c>
      <c r="P11" s="5">
        <f>O74</f>
        <v>2.3895554196387878E-13</v>
      </c>
      <c r="Q11" s="5"/>
      <c r="R11" s="36" t="s">
        <v>248</v>
      </c>
      <c r="S11" s="5">
        <f>R74</f>
        <v>1.3224388897726983E-12</v>
      </c>
      <c r="T11" s="5"/>
    </row>
    <row r="12" spans="1:20" customFormat="1" x14ac:dyDescent="0.55000000000000004">
      <c r="A12" s="1"/>
      <c r="B12" s="1"/>
      <c r="C12" s="1"/>
      <c r="D12" s="1" t="s">
        <v>41</v>
      </c>
      <c r="E12" s="46"/>
      <c r="F12" s="36" t="s">
        <v>126</v>
      </c>
      <c r="G12" s="5">
        <f>F95</f>
        <v>2.4050663359656901E-12</v>
      </c>
      <c r="H12" s="5"/>
      <c r="I12" s="36" t="s">
        <v>126</v>
      </c>
      <c r="J12" s="5">
        <f>I95</f>
        <v>2.4050663359656901E-12</v>
      </c>
      <c r="K12" s="5"/>
      <c r="L12" s="36" t="s">
        <v>126</v>
      </c>
      <c r="M12" s="5">
        <f>L95</f>
        <v>1.6033775573104601E-12</v>
      </c>
      <c r="N12" s="5"/>
      <c r="O12" s="36" t="s">
        <v>126</v>
      </c>
      <c r="P12" s="5">
        <f>O95</f>
        <v>1.2025331679828451E-12</v>
      </c>
      <c r="Q12" s="5"/>
      <c r="R12" s="36" t="s">
        <v>126</v>
      </c>
      <c r="S12" s="5">
        <f>R95</f>
        <v>1.2025331679828451E-12</v>
      </c>
      <c r="T12" s="5"/>
    </row>
    <row r="13" spans="1:20" customFormat="1" x14ac:dyDescent="0.55000000000000004">
      <c r="A13" s="1"/>
      <c r="B13" s="1"/>
      <c r="C13" s="1"/>
      <c r="D13" s="1" t="s">
        <v>40</v>
      </c>
      <c r="E13" s="46"/>
      <c r="F13" s="36" t="s">
        <v>126</v>
      </c>
      <c r="G13" s="5">
        <f>F110</f>
        <v>1.546807679700722E-13</v>
      </c>
      <c r="H13" s="5"/>
      <c r="I13" s="36" t="s">
        <v>126</v>
      </c>
      <c r="J13" s="5">
        <f>I110</f>
        <v>1.546807679700722E-13</v>
      </c>
      <c r="K13" s="5"/>
      <c r="L13" s="36" t="s">
        <v>126</v>
      </c>
      <c r="M13" s="5">
        <f>L110</f>
        <v>1.0312051198004816E-13</v>
      </c>
      <c r="N13" s="5"/>
      <c r="O13" s="36" t="s">
        <v>126</v>
      </c>
      <c r="P13" s="5">
        <f>O110</f>
        <v>7.7340383985036099E-14</v>
      </c>
      <c r="Q13" s="5"/>
      <c r="R13" s="36" t="s">
        <v>126</v>
      </c>
      <c r="S13" s="5">
        <f>R110</f>
        <v>7.7340383985036099E-14</v>
      </c>
      <c r="T13" s="5"/>
    </row>
    <row r="14" spans="1:20" customFormat="1" ht="15" customHeight="1" x14ac:dyDescent="0.55000000000000004">
      <c r="A14" s="1"/>
      <c r="B14" s="1"/>
      <c r="C14" s="1"/>
      <c r="D14" s="1" t="s">
        <v>160</v>
      </c>
      <c r="E14" s="46"/>
      <c r="F14" s="36" t="s">
        <v>162</v>
      </c>
      <c r="G14" s="5">
        <f>F124</f>
        <v>5.7119915834175698E-14</v>
      </c>
      <c r="H14" s="5"/>
      <c r="I14" s="36" t="s">
        <v>162</v>
      </c>
      <c r="J14" s="5">
        <f>I124</f>
        <v>5.7119915834175698E-14</v>
      </c>
      <c r="K14" s="5"/>
      <c r="L14" s="36" t="s">
        <v>162</v>
      </c>
      <c r="M14" s="5">
        <f>L124</f>
        <v>3.8079943889450463E-14</v>
      </c>
      <c r="N14" s="5"/>
      <c r="O14" s="36" t="s">
        <v>162</v>
      </c>
      <c r="P14" s="5">
        <f>O124</f>
        <v>2.8559957917087849E-14</v>
      </c>
      <c r="Q14" s="5"/>
      <c r="R14" s="36" t="s">
        <v>162</v>
      </c>
      <c r="S14" s="5">
        <f>R124</f>
        <v>2.8559957917087849E-14</v>
      </c>
      <c r="T14" s="5"/>
    </row>
    <row r="15" spans="1:20" customFormat="1" ht="15" customHeight="1" thickBot="1" x14ac:dyDescent="0.6">
      <c r="A15" s="1"/>
      <c r="B15" s="1"/>
      <c r="C15" s="1"/>
      <c r="D15" s="1" t="s">
        <v>161</v>
      </c>
      <c r="E15" s="46"/>
      <c r="F15" s="36" t="s">
        <v>164</v>
      </c>
      <c r="G15" s="5">
        <f>F137</f>
        <v>0</v>
      </c>
      <c r="H15" s="5"/>
      <c r="I15" s="36" t="s">
        <v>164</v>
      </c>
      <c r="J15" s="5">
        <f>I137</f>
        <v>0</v>
      </c>
      <c r="K15" s="5"/>
      <c r="L15" s="36" t="s">
        <v>164</v>
      </c>
      <c r="M15" s="5">
        <f>L137</f>
        <v>0</v>
      </c>
      <c r="N15" s="5"/>
      <c r="O15" s="36" t="s">
        <v>164</v>
      </c>
      <c r="P15" s="5">
        <f>O137</f>
        <v>0</v>
      </c>
      <c r="Q15" s="5"/>
      <c r="R15" s="36" t="s">
        <v>164</v>
      </c>
      <c r="S15" s="5">
        <f>R137</f>
        <v>0</v>
      </c>
      <c r="T15" s="5"/>
    </row>
    <row r="16" spans="1:20" customFormat="1" ht="14.7" thickBot="1" x14ac:dyDescent="0.6">
      <c r="A16" s="1"/>
      <c r="B16" s="1"/>
      <c r="C16" s="1"/>
      <c r="D16" s="17" t="s">
        <v>43</v>
      </c>
      <c r="E16" s="46"/>
      <c r="F16" s="1"/>
      <c r="G16" s="16">
        <f>SUM(G10:G15)</f>
        <v>1.4475231661724368E-11</v>
      </c>
      <c r="H16" s="6"/>
      <c r="I16" s="1"/>
      <c r="J16" s="16">
        <f>SUM(J10:J15)</f>
        <v>4.0982271679204624E-12</v>
      </c>
      <c r="K16" s="6"/>
      <c r="L16" s="1"/>
      <c r="M16" s="16">
        <f>SUM(M10:M15)</f>
        <v>2.732151445280308E-12</v>
      </c>
      <c r="N16" s="6"/>
      <c r="O16" s="1"/>
      <c r="P16" s="16">
        <f>SUM(P10:P15)</f>
        <v>2.0491135839602312E-12</v>
      </c>
      <c r="Q16" s="6"/>
      <c r="R16" s="1"/>
      <c r="S16" s="16">
        <f>SUM(S10:S15)</f>
        <v>7.2376158308621838E-12</v>
      </c>
      <c r="T16" s="6"/>
    </row>
    <row r="17" spans="1:20" customFormat="1" x14ac:dyDescent="0.55000000000000004">
      <c r="A17" s="34"/>
      <c r="B17" s="1" t="s">
        <v>30</v>
      </c>
      <c r="C17" s="3"/>
      <c r="D17" s="1"/>
      <c r="E17" s="4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" customFormat="1" x14ac:dyDescent="0.55000000000000004">
      <c r="A18" s="3" t="s">
        <v>45</v>
      </c>
      <c r="B18" s="25" t="s">
        <v>32</v>
      </c>
      <c r="C18" s="3" t="s">
        <v>28</v>
      </c>
      <c r="D18" s="3" t="s">
        <v>29</v>
      </c>
      <c r="E18" s="25" t="s">
        <v>0</v>
      </c>
      <c r="F18" s="7"/>
      <c r="I18" s="7"/>
      <c r="L18" s="7"/>
      <c r="O18" s="7"/>
      <c r="R18" s="7"/>
    </row>
    <row r="19" spans="1:20" customFormat="1" x14ac:dyDescent="0.55000000000000004">
      <c r="A19" s="3"/>
      <c r="B19" s="46" t="e" vm="1">
        <v>#VALUE!</v>
      </c>
      <c r="C19" s="1" t="s">
        <v>314</v>
      </c>
      <c r="D19" s="1" t="s">
        <v>312</v>
      </c>
      <c r="E19" s="46" t="s">
        <v>313</v>
      </c>
      <c r="F19" s="78">
        <v>20</v>
      </c>
      <c r="G19" s="1"/>
      <c r="H19" s="1"/>
      <c r="I19" s="78">
        <v>20</v>
      </c>
      <c r="J19" s="1"/>
      <c r="K19" s="1"/>
      <c r="L19" s="78">
        <v>30</v>
      </c>
      <c r="M19" s="1"/>
      <c r="N19" s="1"/>
      <c r="O19" s="78">
        <v>40</v>
      </c>
      <c r="P19" s="1"/>
      <c r="Q19" s="1"/>
      <c r="R19" s="78">
        <v>40</v>
      </c>
      <c r="S19" s="1"/>
      <c r="T19" s="1"/>
    </row>
    <row r="20" spans="1:20" s="3" customFormat="1" x14ac:dyDescent="0.55000000000000004">
      <c r="B20" s="25"/>
      <c r="E20" s="25"/>
      <c r="F20" s="7"/>
      <c r="I20" s="7"/>
      <c r="L20" s="7"/>
      <c r="O20" s="7"/>
      <c r="R20" s="7"/>
    </row>
    <row r="21" spans="1:20" customFormat="1" x14ac:dyDescent="0.55000000000000004">
      <c r="A21" s="93" t="s">
        <v>170</v>
      </c>
      <c r="B21" s="46" t="s">
        <v>46</v>
      </c>
      <c r="C21" s="1" t="s">
        <v>44</v>
      </c>
      <c r="D21" s="1" t="s">
        <v>139</v>
      </c>
      <c r="E21" s="46"/>
      <c r="F21" s="13" t="str">
        <f>INDEX(tbl_material[],MATCH(F$10,tbl_material[ERP identifier],0),MATCH(RP_SICUT!$D$21,tbl_material[#Headers],0))</f>
        <v>PET</v>
      </c>
      <c r="G21" s="1"/>
      <c r="H21" s="1"/>
      <c r="I21" s="13" t="str">
        <f>INDEX(tbl_material[],MATCH(I$10,tbl_material[ERP identifier],0),MATCH(RP_SICUT!$D$21,tbl_material[#Headers],0))</f>
        <v>PET</v>
      </c>
      <c r="J21" s="1"/>
      <c r="K21" s="1"/>
      <c r="L21" s="13" t="str">
        <f>INDEX(tbl_material[],MATCH(L$10,tbl_material[ERP identifier],0),MATCH(RP_SICUT!$D$21,tbl_material[#Headers],0))</f>
        <v>PET</v>
      </c>
      <c r="M21" s="1"/>
      <c r="N21" s="1"/>
      <c r="O21" s="13" t="str">
        <f>INDEX(tbl_material[],MATCH(O$10,tbl_material[ERP identifier],0),MATCH(RP_SICUT!$D$21,tbl_material[#Headers],0))</f>
        <v>PET</v>
      </c>
      <c r="P21" s="1"/>
      <c r="Q21" s="1"/>
      <c r="R21" s="13" t="str">
        <f>INDEX(tbl_material[],MATCH(R$10,tbl_material[ERP identifier],0),MATCH(RP_SICUT!$D$21,tbl_material[#Headers],0))</f>
        <v>PET</v>
      </c>
      <c r="S21" s="1"/>
      <c r="T21" s="1"/>
    </row>
    <row r="22" spans="1:20" customFormat="1" x14ac:dyDescent="0.55000000000000004">
      <c r="A22" s="93"/>
      <c r="B22" s="25" t="s">
        <v>10</v>
      </c>
      <c r="C22" s="1" t="s">
        <v>26</v>
      </c>
      <c r="D22" s="1" t="s">
        <v>109</v>
      </c>
      <c r="E22" s="46" t="s">
        <v>3</v>
      </c>
      <c r="F22" s="5">
        <f>INDEX(tbl_ERP[],MATCH(F21,tbl_ERP[Identifier],0),MATCH(RP_SICUT!$D$22,tbl_ERP[#Headers],0))</f>
        <v>178135598879.10516</v>
      </c>
      <c r="G22" s="1"/>
      <c r="H22" s="1"/>
      <c r="I22" s="5">
        <f>INDEX(tbl_ERP[],MATCH(I21,tbl_ERP[Identifier],0),MATCH(RP_SICUT!$D$22,tbl_ERP[#Headers],0))</f>
        <v>178135598879.10516</v>
      </c>
      <c r="J22" s="1"/>
      <c r="K22" s="1"/>
      <c r="L22" s="5">
        <f>INDEX(tbl_ERP[],MATCH(L21,tbl_ERP[Identifier],0),MATCH(RP_SICUT!$D$22,tbl_ERP[#Headers],0))</f>
        <v>178135598879.10516</v>
      </c>
      <c r="M22" s="1"/>
      <c r="N22" s="1"/>
      <c r="O22" s="5">
        <f>INDEX(tbl_ERP[],MATCH(O21,tbl_ERP[Identifier],0),MATCH(RP_SICUT!$D$22,tbl_ERP[#Headers],0))</f>
        <v>178135598879.10516</v>
      </c>
      <c r="P22" s="1"/>
      <c r="Q22" s="1"/>
      <c r="R22" s="5">
        <f>INDEX(tbl_ERP[],MATCH(R21,tbl_ERP[Identifier],0),MATCH(RP_SICUT!$D$22,tbl_ERP[#Headers],0))</f>
        <v>178135598879.10516</v>
      </c>
      <c r="S22" s="1"/>
      <c r="T22" s="1"/>
    </row>
    <row r="23" spans="1:20" customFormat="1" x14ac:dyDescent="0.55000000000000004">
      <c r="A23" s="93"/>
      <c r="B23" s="1"/>
      <c r="C23" s="1"/>
      <c r="D23" s="1"/>
      <c r="E23" s="46"/>
      <c r="F23" s="2"/>
      <c r="G23" s="1"/>
      <c r="H23" s="1"/>
      <c r="I23" s="2"/>
      <c r="J23" s="1"/>
      <c r="K23" s="1"/>
      <c r="L23" s="2"/>
      <c r="M23" s="1"/>
      <c r="N23" s="1"/>
      <c r="O23" s="2"/>
      <c r="P23" s="1"/>
      <c r="Q23" s="1"/>
      <c r="R23" s="2"/>
      <c r="S23" s="1"/>
      <c r="T23" s="1"/>
    </row>
    <row r="24" spans="1:20" customFormat="1" x14ac:dyDescent="0.55000000000000004">
      <c r="A24" s="93"/>
      <c r="B24" s="92"/>
      <c r="C24" s="1" t="s">
        <v>7</v>
      </c>
      <c r="D24" s="1" t="s">
        <v>34</v>
      </c>
      <c r="E24" s="46" t="s">
        <v>1</v>
      </c>
      <c r="F24" s="38">
        <f>INDEX(tbl_material[],MATCH(F$10,tbl_material[material],0),MATCH(RP_SICUT!$F$5,tbl_material[#Headers],0))</f>
        <v>0</v>
      </c>
      <c r="G24" s="1"/>
      <c r="H24" s="1"/>
      <c r="I24" s="38">
        <f>INDEX(tbl_material[],MATCH(I$10,tbl_material[material],0),MATCH(RP_SICUT!I$5,tbl_material[#Headers],0))</f>
        <v>0</v>
      </c>
      <c r="J24" s="1"/>
      <c r="K24" s="1"/>
      <c r="L24" s="38">
        <f>INDEX(tbl_material[],MATCH(L$10,tbl_material[material],0),MATCH(RP_SICUT!L$5,tbl_material[#Headers],0))</f>
        <v>0</v>
      </c>
      <c r="M24" s="1"/>
      <c r="N24" s="1"/>
      <c r="O24" s="38">
        <f>INDEX(tbl_material[],MATCH(O$10,tbl_material[material],0),MATCH(RP_SICUT!O$5,tbl_material[#Headers],0))</f>
        <v>0</v>
      </c>
      <c r="P24" s="1"/>
      <c r="Q24" s="1"/>
      <c r="R24" s="38">
        <f>INDEX(tbl_material[],MATCH(R$10,tbl_material[material],0),MATCH(RP_SICUT!R$5,tbl_material[#Headers],0))</f>
        <v>0</v>
      </c>
      <c r="S24" s="1"/>
      <c r="T24" s="1"/>
    </row>
    <row r="25" spans="1:20" customFormat="1" x14ac:dyDescent="0.55000000000000004">
      <c r="A25" s="93"/>
      <c r="B25" s="92"/>
      <c r="C25" s="1" t="s">
        <v>33</v>
      </c>
      <c r="D25" s="1" t="s">
        <v>34</v>
      </c>
      <c r="E25" s="46" t="s">
        <v>1</v>
      </c>
      <c r="F25" s="4">
        <f>1-F24</f>
        <v>1</v>
      </c>
      <c r="G25" s="1"/>
      <c r="H25" s="1"/>
      <c r="I25" s="4">
        <f>1-I24</f>
        <v>1</v>
      </c>
      <c r="J25" s="1"/>
      <c r="K25" s="1"/>
      <c r="L25" s="4">
        <f>1-L24</f>
        <v>1</v>
      </c>
      <c r="M25" s="1"/>
      <c r="N25" s="1"/>
      <c r="O25" s="4">
        <f>1-O24</f>
        <v>1</v>
      </c>
      <c r="P25" s="1"/>
      <c r="Q25" s="1"/>
      <c r="R25" s="4">
        <f>1-R24</f>
        <v>1</v>
      </c>
      <c r="S25" s="1"/>
      <c r="T25" s="1"/>
    </row>
    <row r="26" spans="1:20" customFormat="1" x14ac:dyDescent="0.55000000000000004">
      <c r="A26" s="93"/>
      <c r="B26" s="1"/>
      <c r="C26" s="1"/>
      <c r="D26" s="1"/>
      <c r="E26" s="46"/>
      <c r="F26" s="10"/>
      <c r="G26" s="1"/>
      <c r="H26" s="1"/>
      <c r="I26" s="10"/>
      <c r="J26" s="1"/>
      <c r="K26" s="1"/>
      <c r="L26" s="10"/>
      <c r="M26" s="1"/>
      <c r="N26" s="1"/>
      <c r="O26" s="10"/>
      <c r="P26" s="1"/>
      <c r="Q26" s="1"/>
      <c r="R26" s="10"/>
      <c r="S26" s="1"/>
      <c r="T26" s="1"/>
    </row>
    <row r="27" spans="1:20" customFormat="1" x14ac:dyDescent="0.55000000000000004">
      <c r="A27" s="93"/>
      <c r="B27" s="92"/>
      <c r="C27" s="1" t="s">
        <v>57</v>
      </c>
      <c r="D27" s="1" t="s">
        <v>202</v>
      </c>
      <c r="E27" s="46" t="s">
        <v>2</v>
      </c>
      <c r="F27" s="38">
        <f>INDEX(tbl_material[],MATCH(F$10,tbl_material[material],0),MATCH(RP_SICUT!$C$27,tbl_material[#Headers],0))</f>
        <v>65</v>
      </c>
      <c r="G27" s="15"/>
      <c r="H27" s="15"/>
      <c r="I27" s="38">
        <f>INDEX(tbl_material[],MATCH(I$10,tbl_material[material],0),MATCH(RP_SICUT!$C$27,tbl_material[#Headers],0))</f>
        <v>65</v>
      </c>
      <c r="J27" s="15"/>
      <c r="K27" s="15"/>
      <c r="L27" s="38">
        <f>INDEX(tbl_material[],MATCH(L$10,tbl_material[material],0),MATCH(RP_SICUT!$C$27,tbl_material[#Headers],0))</f>
        <v>65</v>
      </c>
      <c r="M27" s="15"/>
      <c r="N27" s="15"/>
      <c r="O27" s="38">
        <f>INDEX(tbl_material[],MATCH(O$10,tbl_material[material],0),MATCH(RP_SICUT!$C$27,tbl_material[#Headers],0))</f>
        <v>65</v>
      </c>
      <c r="P27" s="15"/>
      <c r="Q27" s="15"/>
      <c r="R27" s="38">
        <f>INDEX(tbl_material[],MATCH(R$10,tbl_material[material],0),MATCH(RP_SICUT!$C$27,tbl_material[#Headers],0))</f>
        <v>65</v>
      </c>
      <c r="S27" s="15"/>
      <c r="T27" s="15"/>
    </row>
    <row r="28" spans="1:20" customFormat="1" x14ac:dyDescent="0.55000000000000004">
      <c r="A28" s="93"/>
      <c r="B28" s="92"/>
      <c r="C28" s="1" t="s">
        <v>58</v>
      </c>
      <c r="D28" s="1" t="s">
        <v>24</v>
      </c>
      <c r="E28" s="46" t="s">
        <v>1</v>
      </c>
      <c r="F28" s="38">
        <f>INDEX(tbl_material[],MATCH(F$10,tbl_material[material],0),MATCH(RP_SICUT!$C$28,tbl_material[#Headers],0))</f>
        <v>0.1</v>
      </c>
      <c r="G28" s="1"/>
      <c r="H28" s="1"/>
      <c r="I28" s="38">
        <f>INDEX(tbl_material[],MATCH(I$10,tbl_material[material],0),MATCH(RP_SICUT!$C$28,tbl_material[#Headers],0))</f>
        <v>0.1</v>
      </c>
      <c r="J28" s="1"/>
      <c r="K28" s="1"/>
      <c r="L28" s="38">
        <f>INDEX(tbl_material[],MATCH(L$10,tbl_material[material],0),MATCH(RP_SICUT!$C$28,tbl_material[#Headers],0))</f>
        <v>0.1</v>
      </c>
      <c r="M28" s="1"/>
      <c r="N28" s="1"/>
      <c r="O28" s="38">
        <f>INDEX(tbl_material[],MATCH(O$10,tbl_material[material],0),MATCH(RP_SICUT!$C$28,tbl_material[#Headers],0))</f>
        <v>0.1</v>
      </c>
      <c r="P28" s="1"/>
      <c r="Q28" s="1"/>
      <c r="R28" s="38">
        <f>INDEX(tbl_material[],MATCH(R$10,tbl_material[material],0),MATCH(RP_SICUT!$C$28,tbl_material[#Headers],0))</f>
        <v>0.1</v>
      </c>
      <c r="S28" s="1"/>
      <c r="T28" s="1"/>
    </row>
    <row r="29" spans="1:20" customFormat="1" x14ac:dyDescent="0.55000000000000004">
      <c r="A29" s="93"/>
      <c r="B29" s="92"/>
      <c r="C29" s="1" t="s">
        <v>58</v>
      </c>
      <c r="D29" s="1" t="s">
        <v>25</v>
      </c>
      <c r="E29" s="46" t="s">
        <v>2</v>
      </c>
      <c r="F29" s="15">
        <f>F27*F28</f>
        <v>6.5</v>
      </c>
      <c r="G29" s="1"/>
      <c r="H29" s="1"/>
      <c r="I29" s="15">
        <f>I27*I28</f>
        <v>6.5</v>
      </c>
      <c r="J29" s="1"/>
      <c r="K29" s="1"/>
      <c r="L29" s="15">
        <f>L27*L28</f>
        <v>6.5</v>
      </c>
      <c r="M29" s="1"/>
      <c r="N29" s="1"/>
      <c r="O29" s="15">
        <f>O27*O28</f>
        <v>6.5</v>
      </c>
      <c r="P29" s="1"/>
      <c r="Q29" s="1"/>
      <c r="R29" s="15">
        <f>R27*R28</f>
        <v>6.5</v>
      </c>
      <c r="S29" s="1"/>
      <c r="T29" s="1"/>
    </row>
    <row r="30" spans="1:20" customFormat="1" x14ac:dyDescent="0.55000000000000004">
      <c r="A30" s="93"/>
      <c r="B30" s="92"/>
      <c r="C30" s="1" t="s">
        <v>23</v>
      </c>
      <c r="D30" s="1" t="s">
        <v>25</v>
      </c>
      <c r="E30" s="46" t="s">
        <v>2</v>
      </c>
      <c r="F30" s="15">
        <f>F27*(1+F28)</f>
        <v>71.5</v>
      </c>
      <c r="G30" s="1"/>
      <c r="H30" s="1"/>
      <c r="I30" s="15">
        <f>I27*(1+I28)</f>
        <v>71.5</v>
      </c>
      <c r="J30" s="1"/>
      <c r="K30" s="1"/>
      <c r="L30" s="15">
        <f>L27*(1+L28)</f>
        <v>71.5</v>
      </c>
      <c r="M30" s="1"/>
      <c r="N30" s="1"/>
      <c r="O30" s="15">
        <f>O27*(1+O28)</f>
        <v>71.5</v>
      </c>
      <c r="P30" s="1"/>
      <c r="Q30" s="1"/>
      <c r="R30" s="15">
        <f>R27*(1+R28)</f>
        <v>71.5</v>
      </c>
      <c r="S30" s="1"/>
      <c r="T30" s="1"/>
    </row>
    <row r="31" spans="1:20" customFormat="1" x14ac:dyDescent="0.55000000000000004">
      <c r="A31" s="93"/>
      <c r="B31" s="1"/>
      <c r="C31" s="1"/>
      <c r="D31" s="1"/>
      <c r="E31" s="46"/>
      <c r="F31" s="4"/>
      <c r="G31" s="1"/>
      <c r="H31" s="1"/>
      <c r="I31" s="4"/>
      <c r="J31" s="1"/>
      <c r="K31" s="1"/>
      <c r="L31" s="4"/>
      <c r="M31" s="1"/>
      <c r="N31" s="1"/>
      <c r="O31" s="4"/>
      <c r="P31" s="1"/>
      <c r="Q31" s="1"/>
      <c r="R31" s="4"/>
      <c r="S31" s="1"/>
      <c r="T31" s="1"/>
    </row>
    <row r="32" spans="1:20" customFormat="1" x14ac:dyDescent="0.55000000000000004">
      <c r="A32" s="93"/>
      <c r="B32" s="92"/>
      <c r="C32" s="1" t="s">
        <v>8</v>
      </c>
      <c r="D32" s="1" t="s">
        <v>59</v>
      </c>
      <c r="E32" s="46" t="s">
        <v>1</v>
      </c>
      <c r="F32" s="38">
        <f>INDEX(tbl_material[],MATCH(F$10,tbl_material[material],0),MATCH(RP_SICUT!$C$32,tbl_material[#Headers],0))</f>
        <v>1</v>
      </c>
      <c r="G32" s="1"/>
      <c r="H32" s="1"/>
      <c r="I32" s="38">
        <f>INDEX(tbl_material[],MATCH(I$10,tbl_material[material],0),MATCH(RP_SICUT!$C$32,tbl_material[#Headers],0))</f>
        <v>1</v>
      </c>
      <c r="J32" s="1"/>
      <c r="K32" s="1"/>
      <c r="L32" s="38">
        <f>INDEX(tbl_material[],MATCH(L$10,tbl_material[material],0),MATCH(RP_SICUT!$C$32,tbl_material[#Headers],0))</f>
        <v>1</v>
      </c>
      <c r="M32" s="1"/>
      <c r="N32" s="1"/>
      <c r="O32" s="38">
        <f>INDEX(tbl_material[],MATCH(O$10,tbl_material[material],0),MATCH(RP_SICUT!$C$32,tbl_material[#Headers],0))</f>
        <v>1</v>
      </c>
      <c r="P32" s="1"/>
      <c r="Q32" s="1"/>
      <c r="R32" s="38">
        <f>INDEX(tbl_material[],MATCH(R$10,tbl_material[material],0),MATCH(RP_SICUT!$C$32,tbl_material[#Headers],0))</f>
        <v>1</v>
      </c>
      <c r="S32" s="1"/>
      <c r="T32" s="1"/>
    </row>
    <row r="33" spans="1:20" customFormat="1" x14ac:dyDescent="0.55000000000000004">
      <c r="A33" s="93"/>
      <c r="B33" s="92"/>
      <c r="C33" s="1" t="s">
        <v>9</v>
      </c>
      <c r="D33" s="1" t="s">
        <v>60</v>
      </c>
      <c r="E33" s="46" t="s">
        <v>1</v>
      </c>
      <c r="F33" s="38">
        <f>INDEX(tbl_material[],MATCH(F$10,tbl_material[material],0),MATCH(RP_SICUT!$C$33,tbl_material[#Headers],0))</f>
        <v>0.9</v>
      </c>
      <c r="G33" s="1"/>
      <c r="H33" s="1"/>
      <c r="I33" s="38">
        <f>INDEX(tbl_material[],MATCH(I$10,tbl_material[material],0),MATCH(RP_SICUT!$C$33,tbl_material[#Headers],0))</f>
        <v>0.9</v>
      </c>
      <c r="J33" s="1"/>
      <c r="K33" s="1"/>
      <c r="L33" s="38">
        <f>INDEX(tbl_material[],MATCH(L$10,tbl_material[material],0),MATCH(RP_SICUT!$C$33,tbl_material[#Headers],0))</f>
        <v>0.9</v>
      </c>
      <c r="M33" s="1"/>
      <c r="N33" s="1"/>
      <c r="O33" s="38">
        <f>INDEX(tbl_material[],MATCH(O$10,tbl_material[material],0),MATCH(RP_SICUT!$C$33,tbl_material[#Headers],0))</f>
        <v>0.9</v>
      </c>
      <c r="P33" s="1"/>
      <c r="Q33" s="1"/>
      <c r="R33" s="38">
        <f>INDEX(tbl_material[],MATCH(R$10,tbl_material[material],0),MATCH(RP_SICUT!$C$33,tbl_material[#Headers],0))</f>
        <v>0.9</v>
      </c>
      <c r="S33" s="1"/>
      <c r="T33" s="1"/>
    </row>
    <row r="34" spans="1:20" customFormat="1" x14ac:dyDescent="0.55000000000000004">
      <c r="A34" s="93"/>
      <c r="B34" s="92"/>
      <c r="C34" s="1" t="s">
        <v>62</v>
      </c>
      <c r="D34" s="1" t="s">
        <v>60</v>
      </c>
      <c r="E34" s="46" t="s">
        <v>1</v>
      </c>
      <c r="F34" s="38">
        <f>INDEX(tbl_material[],MATCH(F$10,tbl_material[material],0),MATCH(RP_SICUT!$C$34,tbl_material[#Headers],0))</f>
        <v>0</v>
      </c>
      <c r="G34" s="1"/>
      <c r="H34" s="1"/>
      <c r="I34" s="38">
        <f>INDEX(tbl_material[],MATCH(I$10,tbl_material[material],0),MATCH(RP_SICUT!$C$34,tbl_material[#Headers],0))</f>
        <v>0</v>
      </c>
      <c r="J34" s="1"/>
      <c r="K34" s="1"/>
      <c r="L34" s="38">
        <f>INDEX(tbl_material[],MATCH(L$10,tbl_material[material],0),MATCH(RP_SICUT!$C$34,tbl_material[#Headers],0))</f>
        <v>0</v>
      </c>
      <c r="M34" s="1"/>
      <c r="N34" s="1"/>
      <c r="O34" s="38">
        <f>INDEX(tbl_material[],MATCH(O$10,tbl_material[material],0),MATCH(RP_SICUT!$C$34,tbl_material[#Headers],0))</f>
        <v>0</v>
      </c>
      <c r="P34" s="1"/>
      <c r="Q34" s="1"/>
      <c r="R34" s="38">
        <f>INDEX(tbl_material[],MATCH(R$10,tbl_material[material],0),MATCH(RP_SICUT!$C$34,tbl_material[#Headers],0))</f>
        <v>0</v>
      </c>
      <c r="S34" s="1"/>
      <c r="T34" s="1"/>
    </row>
    <row r="35" spans="1:20" customFormat="1" x14ac:dyDescent="0.55000000000000004">
      <c r="A35" s="93"/>
      <c r="B35" s="92"/>
      <c r="C35" s="1" t="s">
        <v>22</v>
      </c>
      <c r="D35" s="1" t="s">
        <v>60</v>
      </c>
      <c r="E35" s="46" t="s">
        <v>1</v>
      </c>
      <c r="F35" s="4">
        <f>1-F32+F32*(1-F33-F34)</f>
        <v>9.9999999999999978E-2</v>
      </c>
      <c r="G35" s="4"/>
      <c r="H35" s="4"/>
      <c r="I35" s="4">
        <f>1-I32+I32*(1-I33-I34)</f>
        <v>9.9999999999999978E-2</v>
      </c>
      <c r="J35" s="4"/>
      <c r="K35" s="4"/>
      <c r="L35" s="4">
        <f>1-L32+L32*(1-L33-L34)</f>
        <v>9.9999999999999978E-2</v>
      </c>
      <c r="M35" s="4"/>
      <c r="N35" s="4"/>
      <c r="O35" s="4">
        <f>1-O32+O32*(1-O33-O34)</f>
        <v>9.9999999999999978E-2</v>
      </c>
      <c r="P35" s="4"/>
      <c r="Q35" s="4"/>
      <c r="R35" s="4">
        <f>1-R32+R32*(1-R33-R34)</f>
        <v>9.9999999999999978E-2</v>
      </c>
      <c r="S35" s="4"/>
      <c r="T35" s="4"/>
    </row>
    <row r="36" spans="1:20" customFormat="1" x14ac:dyDescent="0.55000000000000004">
      <c r="A36" s="93"/>
      <c r="B36" s="1"/>
      <c r="C36" s="1"/>
      <c r="D36" s="1"/>
      <c r="E36" s="46"/>
      <c r="F36" s="4"/>
      <c r="G36" s="1"/>
      <c r="H36" s="1"/>
      <c r="I36" s="4"/>
      <c r="J36" s="1"/>
      <c r="K36" s="1"/>
      <c r="L36" s="4"/>
      <c r="M36" s="1"/>
      <c r="N36" s="1"/>
      <c r="O36" s="4"/>
      <c r="P36" s="1"/>
      <c r="Q36" s="1"/>
      <c r="R36" s="4"/>
      <c r="S36" s="1"/>
      <c r="T36" s="1"/>
    </row>
    <row r="37" spans="1:20" customFormat="1" x14ac:dyDescent="0.55000000000000004">
      <c r="A37" s="93"/>
      <c r="B37" s="92"/>
      <c r="C37" s="1" t="s">
        <v>8</v>
      </c>
      <c r="D37" s="1" t="s">
        <v>20</v>
      </c>
      <c r="E37" s="46" t="s">
        <v>1</v>
      </c>
      <c r="F37" s="38">
        <f>INDEX(tbl_material[],MATCH(F$10,tbl_material[material],0),MATCH(RP_SICUT!$F$6,tbl_material[#Headers],0))</f>
        <v>1</v>
      </c>
      <c r="G37" s="24"/>
      <c r="H37" s="24"/>
      <c r="I37" s="38">
        <f>INDEX(tbl_material[],MATCH(I$10,tbl_material[material],0),MATCH(RP_SICUT!I$6,tbl_material[#Headers],0))</f>
        <v>1</v>
      </c>
      <c r="J37" s="24"/>
      <c r="K37" s="24"/>
      <c r="L37" s="38">
        <f>INDEX(tbl_material[],MATCH(L$10,tbl_material[material],0),MATCH(RP_SICUT!L$6,tbl_material[#Headers],0))</f>
        <v>1</v>
      </c>
      <c r="M37" s="24"/>
      <c r="N37" s="24"/>
      <c r="O37" s="38">
        <f>INDEX(tbl_material[],MATCH(O$10,tbl_material[material],0),MATCH(RP_SICUT!O$6,tbl_material[#Headers],0))</f>
        <v>1</v>
      </c>
      <c r="P37" s="24"/>
      <c r="Q37" s="24"/>
      <c r="R37" s="38">
        <f>INDEX(tbl_material[],MATCH(R$10,tbl_material[material],0),MATCH(RP_SICUT!R$6,tbl_material[#Headers],0))</f>
        <v>1</v>
      </c>
      <c r="S37" s="24"/>
      <c r="T37" s="24"/>
    </row>
    <row r="38" spans="1:20" customFormat="1" x14ac:dyDescent="0.55000000000000004">
      <c r="A38" s="93"/>
      <c r="B38" s="92"/>
      <c r="C38" s="1" t="s">
        <v>9</v>
      </c>
      <c r="D38" s="1" t="s">
        <v>61</v>
      </c>
      <c r="E38" s="46" t="s">
        <v>1</v>
      </c>
      <c r="F38" s="38">
        <f>INDEX(tbl_material[],MATCH(F$10,tbl_material[material],0),MATCH(RP_SICUT!$F$7,tbl_material[#Headers],0))</f>
        <v>0</v>
      </c>
      <c r="G38" s="4"/>
      <c r="H38" s="4"/>
      <c r="I38" s="38">
        <f>INDEX(tbl_material[],MATCH(I$10,tbl_material[material],0),MATCH(RP_SICUT!$I$7,tbl_material[#Headers],0))</f>
        <v>0.5</v>
      </c>
      <c r="J38" s="4"/>
      <c r="K38" s="4"/>
      <c r="L38" s="38">
        <f>INDEX(tbl_material[],MATCH(L$10,tbl_material[material],0),MATCH(RP_SICUT!$L$7,tbl_material[#Headers],0))</f>
        <v>0.5</v>
      </c>
      <c r="M38" s="4"/>
      <c r="N38" s="4"/>
      <c r="O38" s="38">
        <f>INDEX(tbl_material[],MATCH(O$10,tbl_material[material],0),MATCH(RP_SICUT!$O$7,tbl_material[#Headers],0))</f>
        <v>0.5</v>
      </c>
      <c r="P38" s="4"/>
      <c r="Q38" s="4"/>
      <c r="R38" s="38">
        <f>INDEX(tbl_material[],MATCH(R$10,tbl_material[material],0),MATCH(RP_SICUT!R$7,tbl_material[#Headers],0))</f>
        <v>0</v>
      </c>
      <c r="S38" s="4"/>
      <c r="T38" s="4"/>
    </row>
    <row r="39" spans="1:20" customFormat="1" x14ac:dyDescent="0.55000000000000004">
      <c r="A39" s="93"/>
      <c r="B39" s="92"/>
      <c r="C39" s="1" t="s">
        <v>62</v>
      </c>
      <c r="D39" s="1" t="s">
        <v>61</v>
      </c>
      <c r="E39" s="46" t="s">
        <v>1</v>
      </c>
      <c r="F39" s="38">
        <f>INDEX(tbl_material[],MATCH(F$10,tbl_material[material],0),MATCH(RP_SICUT!$F$8,tbl_material[#Headers],0))</f>
        <v>0</v>
      </c>
      <c r="G39" s="4"/>
      <c r="H39" s="4"/>
      <c r="I39" s="38">
        <f>INDEX(tbl_material[],MATCH(I$10,tbl_material[material],0),MATCH(RP_SICUT!I$8,tbl_material[#Headers],0))</f>
        <v>0.4</v>
      </c>
      <c r="J39" s="4"/>
      <c r="K39" s="4"/>
      <c r="L39" s="38">
        <f>INDEX(tbl_material[],MATCH(L$10,tbl_material[material],0),MATCH(RP_SICUT!L$8,tbl_material[#Headers],0))</f>
        <v>0.4</v>
      </c>
      <c r="M39" s="4"/>
      <c r="N39" s="4"/>
      <c r="O39" s="38">
        <f>INDEX(tbl_material[],MATCH(O$10,tbl_material[material],0),MATCH(RP_SICUT!O$8,tbl_material[#Headers],0))</f>
        <v>0.4</v>
      </c>
      <c r="P39" s="4"/>
      <c r="Q39" s="4"/>
      <c r="R39" s="38">
        <f>INDEX(tbl_material[],MATCH(R$10,tbl_material[material],0),MATCH(RP_SICUT!R$8,tbl_material[#Headers],0))</f>
        <v>0</v>
      </c>
      <c r="S39" s="4"/>
      <c r="T39" s="4"/>
    </row>
    <row r="40" spans="1:20" customFormat="1" x14ac:dyDescent="0.55000000000000004">
      <c r="A40" s="93"/>
      <c r="B40" s="92"/>
      <c r="C40" s="1" t="s">
        <v>22</v>
      </c>
      <c r="D40" s="1" t="s">
        <v>61</v>
      </c>
      <c r="E40" s="46" t="s">
        <v>1</v>
      </c>
      <c r="F40" s="4">
        <f>1-F37+F37*(1-F38-F39)</f>
        <v>1</v>
      </c>
      <c r="G40" s="4"/>
      <c r="H40" s="4"/>
      <c r="I40" s="4">
        <f>1-I37+I37*(1-I38-I39)</f>
        <v>9.9999999999999978E-2</v>
      </c>
      <c r="J40" s="4"/>
      <c r="K40" s="4"/>
      <c r="L40" s="4">
        <f>1-L37+L37*(1-L38-L39)</f>
        <v>9.9999999999999978E-2</v>
      </c>
      <c r="M40" s="4"/>
      <c r="N40" s="4"/>
      <c r="O40" s="4">
        <f>1-O37+O37*(1-O38-O39)</f>
        <v>9.9999999999999978E-2</v>
      </c>
      <c r="P40" s="4"/>
      <c r="Q40" s="4"/>
      <c r="R40" s="4">
        <f>1-R37+R37*(1-R38-R39)</f>
        <v>1</v>
      </c>
      <c r="S40" s="4"/>
      <c r="T40" s="4"/>
    </row>
    <row r="41" spans="1:20" customFormat="1" x14ac:dyDescent="0.55000000000000004">
      <c r="A41" s="93"/>
      <c r="B41" s="1"/>
      <c r="C41" s="1"/>
      <c r="D41" s="1"/>
      <c r="E41" s="4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customFormat="1" x14ac:dyDescent="0.55000000000000004">
      <c r="A42" s="93"/>
      <c r="B42" s="92"/>
      <c r="C42" s="1" t="s">
        <v>5</v>
      </c>
      <c r="D42" s="1" t="s">
        <v>35</v>
      </c>
      <c r="E42" s="46" t="s">
        <v>1</v>
      </c>
      <c r="F42" s="11">
        <f>(F32*F33*F28+F37*F38)/(1+F28)</f>
        <v>8.1818181818181818E-2</v>
      </c>
      <c r="G42" s="11"/>
      <c r="H42" s="11"/>
      <c r="I42" s="11">
        <f>(I32*I33*I28+I37*I38)/(1+I28)</f>
        <v>0.53636363636363626</v>
      </c>
      <c r="J42" s="11"/>
      <c r="K42" s="11"/>
      <c r="L42" s="11">
        <f>(L32*L33*L28+L37*L38)/(1+L28)</f>
        <v>0.53636363636363626</v>
      </c>
      <c r="M42" s="11"/>
      <c r="N42" s="11"/>
      <c r="O42" s="11">
        <f>(O32*O33*O28+O37*O38)/(1+O28)</f>
        <v>0.53636363636363626</v>
      </c>
      <c r="P42" s="11"/>
      <c r="Q42" s="11"/>
      <c r="R42" s="11">
        <f>(R32*R33*R28+R37*R38)/(1+R28)</f>
        <v>8.1818181818181818E-2</v>
      </c>
      <c r="S42" s="11"/>
      <c r="T42" s="11"/>
    </row>
    <row r="43" spans="1:20" customFormat="1" x14ac:dyDescent="0.55000000000000004">
      <c r="A43" s="93"/>
      <c r="B43" s="92"/>
      <c r="C43" s="1" t="s">
        <v>4</v>
      </c>
      <c r="D43" s="1" t="s">
        <v>35</v>
      </c>
      <c r="E43" s="46" t="s">
        <v>1</v>
      </c>
      <c r="F43" s="11">
        <f>(F32*F34*F28+F37*F39)/(1+F28)</f>
        <v>0</v>
      </c>
      <c r="G43" s="11"/>
      <c r="H43" s="11"/>
      <c r="I43" s="11">
        <f>(I32*I34*I28+I37*I39)/(1+I28)</f>
        <v>0.36363636363636365</v>
      </c>
      <c r="J43" s="11"/>
      <c r="K43" s="11"/>
      <c r="L43" s="11">
        <f>(L32*L34*L28+L37*L39)/(1+L28)</f>
        <v>0.36363636363636365</v>
      </c>
      <c r="M43" s="11"/>
      <c r="N43" s="11"/>
      <c r="O43" s="11">
        <f>(O32*O34*O28+O37*O39)/(1+O28)</f>
        <v>0.36363636363636365</v>
      </c>
      <c r="P43" s="11"/>
      <c r="Q43" s="11"/>
      <c r="R43" s="11">
        <f>(R32*R34*R28+R37*R39)/(1+R28)</f>
        <v>0</v>
      </c>
      <c r="S43" s="11"/>
      <c r="T43" s="11"/>
    </row>
    <row r="44" spans="1:20" customFormat="1" x14ac:dyDescent="0.55000000000000004">
      <c r="A44" s="93"/>
      <c r="B44" s="92"/>
      <c r="C44" s="1" t="s">
        <v>6</v>
      </c>
      <c r="D44" s="1" t="s">
        <v>35</v>
      </c>
      <c r="E44" s="46" t="s">
        <v>1</v>
      </c>
      <c r="F44" s="4">
        <f>1-F42-F43</f>
        <v>0.91818181818181821</v>
      </c>
      <c r="G44" s="4"/>
      <c r="H44" s="4"/>
      <c r="I44" s="4">
        <f>1-I42-I43</f>
        <v>0.10000000000000009</v>
      </c>
      <c r="J44" s="4"/>
      <c r="K44" s="4"/>
      <c r="L44" s="4">
        <f>1-L42-L43</f>
        <v>0.10000000000000009</v>
      </c>
      <c r="M44" s="4"/>
      <c r="N44" s="4"/>
      <c r="O44" s="4">
        <f>1-O42-O43</f>
        <v>0.10000000000000009</v>
      </c>
      <c r="P44" s="4"/>
      <c r="Q44" s="4"/>
      <c r="R44" s="4">
        <f>1-R42-R43</f>
        <v>0.91818181818181821</v>
      </c>
      <c r="S44" s="4"/>
      <c r="T44" s="4"/>
    </row>
    <row r="45" spans="1:20" customFormat="1" ht="14.5" customHeight="1" x14ac:dyDescent="0.55000000000000004">
      <c r="A45" s="93"/>
      <c r="B45" s="1"/>
      <c r="C45" s="1"/>
      <c r="D45" s="1"/>
      <c r="E45" s="4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" customFormat="1" ht="14.5" customHeight="1" x14ac:dyDescent="0.65">
      <c r="A46" s="93"/>
      <c r="B46" s="9" t="s">
        <v>31</v>
      </c>
      <c r="C46" s="3" t="s">
        <v>43</v>
      </c>
      <c r="D46" s="3" t="s">
        <v>38</v>
      </c>
      <c r="E46" s="25" t="s">
        <v>1</v>
      </c>
      <c r="F46" s="6">
        <f>(0.5*F27/F22)*(1+F28)*(1/F19)*(1+F24*(1-F42)-F42-F43)</f>
        <v>9.2134868624090319E-12</v>
      </c>
      <c r="G46" s="5"/>
      <c r="H46" s="5"/>
      <c r="I46" s="6">
        <f>(0.5*I27/I22)*(1+I28)*(1/I19)*(1+I24*(1-I42)-I42-I43)</f>
        <v>1.0034490642227668E-12</v>
      </c>
      <c r="J46" s="5"/>
      <c r="K46" s="5"/>
      <c r="L46" s="6">
        <f>(0.5*L27/L22)*(1+L28)*(1/L19)*(1+L24*(1-L42)-L42-L43)</f>
        <v>6.6896604281517763E-13</v>
      </c>
      <c r="M46" s="5"/>
      <c r="N46" s="5"/>
      <c r="O46" s="6">
        <f>(0.5*O27/O22)*(1+O28)*(1/O19)*(1+O24*(1-O42)-O42-O43)</f>
        <v>5.017245321113834E-13</v>
      </c>
      <c r="P46" s="5"/>
      <c r="Q46" s="5"/>
      <c r="R46" s="6">
        <f>(0.5*R27/R22)*(1+R28)*(1/R19)*(1+R24*(1-R42)-R42-R43)</f>
        <v>4.606743431204516E-12</v>
      </c>
      <c r="S46" s="5"/>
      <c r="T46" s="5"/>
    </row>
    <row r="47" spans="1:20" s="3" customFormat="1" ht="14.5" customHeight="1" x14ac:dyDescent="0.65">
      <c r="A47" s="9"/>
      <c r="B47" s="9"/>
      <c r="E47" s="25"/>
      <c r="F47" s="6"/>
      <c r="G47" s="5"/>
      <c r="H47" s="5"/>
      <c r="I47" s="6"/>
      <c r="J47" s="5"/>
      <c r="K47" s="5"/>
      <c r="L47" s="6"/>
      <c r="M47" s="5"/>
      <c r="N47" s="5"/>
      <c r="O47" s="6"/>
      <c r="P47" s="5"/>
      <c r="Q47" s="5"/>
      <c r="R47" s="6"/>
      <c r="S47" s="5"/>
      <c r="T47" s="5"/>
    </row>
    <row r="48" spans="1:20" s="3" customFormat="1" ht="14.5" customHeight="1" x14ac:dyDescent="0.65">
      <c r="A48" s="9"/>
      <c r="B48" s="9"/>
      <c r="E48" s="25"/>
      <c r="F48" s="6"/>
      <c r="G48" s="5"/>
      <c r="H48" s="5"/>
      <c r="I48" s="6"/>
      <c r="J48" s="5"/>
      <c r="K48" s="5"/>
      <c r="L48" s="6"/>
      <c r="M48" s="5"/>
      <c r="N48" s="5"/>
      <c r="O48" s="6"/>
      <c r="P48" s="5"/>
      <c r="Q48" s="5"/>
      <c r="R48" s="6"/>
      <c r="S48" s="5"/>
      <c r="T48" s="5"/>
    </row>
    <row r="49" spans="1:20" s="3" customFormat="1" ht="14.5" customHeight="1" x14ac:dyDescent="0.55000000000000004">
      <c r="A49" s="95" t="s">
        <v>186</v>
      </c>
      <c r="B49" s="46" t="s">
        <v>46</v>
      </c>
      <c r="C49" s="1" t="s">
        <v>44</v>
      </c>
      <c r="D49" s="1" t="s">
        <v>139</v>
      </c>
      <c r="E49" s="46"/>
      <c r="F49" s="13" t="str">
        <f>INDEX(tbl_material[],MATCH(F$11,tbl_material[ERP identifier],0),MATCH(RP_SICUT!$D$49,tbl_material[#Headers],0))</f>
        <v>glass fibre</v>
      </c>
      <c r="G49" s="1"/>
      <c r="H49" s="1"/>
      <c r="I49" s="13" t="str">
        <f>INDEX(tbl_material[],MATCH(I$11,tbl_material[ERP identifier],0),MATCH(RP_SICUT!$D$49,tbl_material[#Headers],0))</f>
        <v>glass fibre</v>
      </c>
      <c r="J49" s="1"/>
      <c r="K49" s="1"/>
      <c r="L49" s="13" t="str">
        <f>INDEX(tbl_material[],MATCH(L$11,tbl_material[ERP identifier],0),MATCH(RP_SICUT!$D$49,tbl_material[#Headers],0))</f>
        <v>glass fibre</v>
      </c>
      <c r="M49" s="1"/>
      <c r="N49" s="1"/>
      <c r="O49" s="13" t="str">
        <f>INDEX(tbl_material[],MATCH(O$11,tbl_material[ERP identifier],0),MATCH(RP_SICUT!$D$49,tbl_material[#Headers],0))</f>
        <v>glass fibre</v>
      </c>
      <c r="P49" s="1"/>
      <c r="Q49" s="1"/>
      <c r="R49" s="13" t="str">
        <f>INDEX(tbl_material[],MATCH(R$11,tbl_material[ERP identifier],0),MATCH(RP_SICUT!$D$49,tbl_material[#Headers],0))</f>
        <v>glass fibre</v>
      </c>
      <c r="S49" s="1"/>
      <c r="T49" s="1"/>
    </row>
    <row r="50" spans="1:20" s="3" customFormat="1" ht="14.5" customHeight="1" x14ac:dyDescent="0.55000000000000004">
      <c r="A50" s="95"/>
      <c r="B50" s="25" t="s">
        <v>10</v>
      </c>
      <c r="C50" s="1" t="s">
        <v>26</v>
      </c>
      <c r="D50" s="1" t="s">
        <v>109</v>
      </c>
      <c r="E50" s="46" t="s">
        <v>3</v>
      </c>
      <c r="F50" s="5">
        <f>INDEX(tbl_ERP[],MATCH(F49,tbl_ERP[Identifier],0),MATCH(RP_SICUT!$D$50,tbl_ERP[#Headers],0))</f>
        <v>381870197485.49573</v>
      </c>
      <c r="G50" s="1"/>
      <c r="H50" s="1"/>
      <c r="I50" s="5">
        <f>INDEX(tbl_ERP[],MATCH(I49,tbl_ERP[Identifier],0),MATCH(RP_SICUT!$D$50,tbl_ERP[#Headers],0))</f>
        <v>381870197485.49573</v>
      </c>
      <c r="J50" s="1"/>
      <c r="K50" s="1"/>
      <c r="L50" s="5">
        <f>INDEX(tbl_ERP[],MATCH(L49,tbl_ERP[Identifier],0),MATCH(RP_SICUT!$D$50,tbl_ERP[#Headers],0))</f>
        <v>381870197485.49573</v>
      </c>
      <c r="M50" s="1"/>
      <c r="N50" s="1"/>
      <c r="O50" s="5">
        <f>INDEX(tbl_ERP[],MATCH(O49,tbl_ERP[Identifier],0),MATCH(RP_SICUT!$D$50,tbl_ERP[#Headers],0))</f>
        <v>381870197485.49573</v>
      </c>
      <c r="P50" s="1"/>
      <c r="Q50" s="1"/>
      <c r="R50" s="5">
        <f>INDEX(tbl_ERP[],MATCH(R49,tbl_ERP[Identifier],0),MATCH(RP_SICUT!$D$50,tbl_ERP[#Headers],0))</f>
        <v>381870197485.49573</v>
      </c>
      <c r="S50" s="1"/>
      <c r="T50" s="1"/>
    </row>
    <row r="51" spans="1:20" s="3" customFormat="1" ht="14.5" customHeight="1" x14ac:dyDescent="0.55000000000000004">
      <c r="A51" s="95"/>
      <c r="B51" s="1"/>
      <c r="C51" s="1"/>
      <c r="D51" s="1"/>
      <c r="E51" s="46"/>
      <c r="F51" s="2"/>
      <c r="G51" s="1"/>
      <c r="H51" s="1"/>
      <c r="I51" s="2"/>
      <c r="J51" s="1"/>
      <c r="K51" s="1"/>
      <c r="L51" s="2"/>
      <c r="M51" s="1"/>
      <c r="N51" s="1"/>
      <c r="O51" s="2"/>
      <c r="P51" s="1"/>
      <c r="Q51" s="1"/>
      <c r="R51" s="2"/>
      <c r="S51" s="1"/>
      <c r="T51" s="1"/>
    </row>
    <row r="52" spans="1:20" s="3" customFormat="1" ht="14.5" customHeight="1" x14ac:dyDescent="0.55000000000000004">
      <c r="A52" s="95"/>
      <c r="B52" s="92"/>
      <c r="C52" s="1" t="s">
        <v>7</v>
      </c>
      <c r="D52" s="1" t="s">
        <v>34</v>
      </c>
      <c r="E52" s="46" t="s">
        <v>1</v>
      </c>
      <c r="F52" s="38">
        <f>INDEX(tbl_material[],MATCH(F$11,tbl_material[material],0),MATCH(RP_SICUT!$F$5,tbl_material[#Headers],0))</f>
        <v>1</v>
      </c>
      <c r="G52" s="1"/>
      <c r="H52" s="1"/>
      <c r="I52" s="38">
        <f>INDEX(tbl_material[],MATCH(I$11,tbl_material[material],0),MATCH(RP_SICUT!I$5,tbl_material[#Headers],0))</f>
        <v>0.5</v>
      </c>
      <c r="J52" s="1"/>
      <c r="K52" s="1"/>
      <c r="L52" s="38">
        <f>INDEX(tbl_material[],MATCH(L$11,tbl_material[material],0),MATCH(RP_SICUT!L$5,tbl_material[#Headers],0))</f>
        <v>0.5</v>
      </c>
      <c r="M52" s="1"/>
      <c r="N52" s="1"/>
      <c r="O52" s="38">
        <f>INDEX(tbl_material[],MATCH(O$11,tbl_material[material],0),MATCH(RP_SICUT!O$5,tbl_material[#Headers],0))</f>
        <v>0.5</v>
      </c>
      <c r="P52" s="1"/>
      <c r="Q52" s="1"/>
      <c r="R52" s="38">
        <f>INDEX(tbl_material[],MATCH(R$11,tbl_material[material],0),MATCH(RP_SICUT!R$5,tbl_material[#Headers],0))</f>
        <v>1</v>
      </c>
      <c r="S52" s="1"/>
      <c r="T52" s="1"/>
    </row>
    <row r="53" spans="1:20" s="3" customFormat="1" ht="14.5" customHeight="1" x14ac:dyDescent="0.55000000000000004">
      <c r="A53" s="95"/>
      <c r="B53" s="92"/>
      <c r="C53" s="1" t="s">
        <v>33</v>
      </c>
      <c r="D53" s="1" t="s">
        <v>34</v>
      </c>
      <c r="E53" s="46" t="s">
        <v>1</v>
      </c>
      <c r="F53" s="4">
        <f>1-F52</f>
        <v>0</v>
      </c>
      <c r="G53" s="1"/>
      <c r="H53" s="1"/>
      <c r="I53" s="4">
        <f>1-I52</f>
        <v>0.5</v>
      </c>
      <c r="J53" s="1"/>
      <c r="K53" s="1"/>
      <c r="L53" s="4">
        <f>1-L52</f>
        <v>0.5</v>
      </c>
      <c r="M53" s="1"/>
      <c r="N53" s="1"/>
      <c r="O53" s="4">
        <f>1-O52</f>
        <v>0.5</v>
      </c>
      <c r="P53" s="1"/>
      <c r="Q53" s="1"/>
      <c r="R53" s="4">
        <f>1-R52</f>
        <v>0</v>
      </c>
      <c r="S53" s="1"/>
      <c r="T53" s="1"/>
    </row>
    <row r="54" spans="1:20" s="3" customFormat="1" ht="14.5" customHeight="1" x14ac:dyDescent="0.55000000000000004">
      <c r="A54" s="95"/>
      <c r="B54" s="1"/>
      <c r="C54" s="1"/>
      <c r="D54" s="1"/>
      <c r="E54" s="46"/>
      <c r="F54" s="10"/>
      <c r="G54" s="1"/>
      <c r="H54" s="1"/>
      <c r="I54" s="10"/>
      <c r="J54" s="1"/>
      <c r="K54" s="1"/>
      <c r="L54" s="10"/>
      <c r="M54" s="1"/>
      <c r="N54" s="1"/>
      <c r="O54" s="10"/>
      <c r="P54" s="1"/>
      <c r="Q54" s="1"/>
      <c r="R54" s="10"/>
      <c r="S54" s="1"/>
      <c r="T54" s="1"/>
    </row>
    <row r="55" spans="1:20" s="3" customFormat="1" ht="14.5" customHeight="1" x14ac:dyDescent="0.55000000000000004">
      <c r="A55" s="95"/>
      <c r="B55" s="92"/>
      <c r="C55" s="1" t="s">
        <v>57</v>
      </c>
      <c r="D55" s="1" t="s">
        <v>202</v>
      </c>
      <c r="E55" s="46" t="s">
        <v>2</v>
      </c>
      <c r="F55" s="38">
        <f>INDEX(tbl_material[],MATCH(F$11,tbl_material[material],0),MATCH(RP_SICUT!$C$55,tbl_material[#Headers],0))</f>
        <v>20</v>
      </c>
      <c r="G55" s="15"/>
      <c r="H55" s="15"/>
      <c r="I55" s="38">
        <f>INDEX(tbl_material[],MATCH(I$11,tbl_material[material],0),MATCH(RP_SICUT!$C$55,tbl_material[#Headers],0))</f>
        <v>20</v>
      </c>
      <c r="J55" s="15"/>
      <c r="K55" s="15"/>
      <c r="L55" s="38">
        <f>INDEX(tbl_material[],MATCH(L$11,tbl_material[material],0),MATCH(RP_SICUT!$C$55,tbl_material[#Headers],0))</f>
        <v>20</v>
      </c>
      <c r="M55" s="15"/>
      <c r="N55" s="15"/>
      <c r="O55" s="38">
        <f>INDEX(tbl_material[],MATCH(O$11,tbl_material[material],0),MATCH(RP_SICUT!$C$55,tbl_material[#Headers],0))</f>
        <v>20</v>
      </c>
      <c r="P55" s="15"/>
      <c r="Q55" s="15"/>
      <c r="R55" s="38">
        <f>INDEX(tbl_material[],MATCH(R$11,tbl_material[material],0),MATCH(RP_SICUT!$C$55,tbl_material[#Headers],0))</f>
        <v>20</v>
      </c>
      <c r="S55" s="15"/>
      <c r="T55" s="15"/>
    </row>
    <row r="56" spans="1:20" s="3" customFormat="1" ht="14.5" customHeight="1" x14ac:dyDescent="0.55000000000000004">
      <c r="A56" s="95"/>
      <c r="B56" s="92"/>
      <c r="C56" s="1" t="s">
        <v>58</v>
      </c>
      <c r="D56" s="1" t="s">
        <v>24</v>
      </c>
      <c r="E56" s="46" t="s">
        <v>1</v>
      </c>
      <c r="F56" s="38">
        <f>INDEX(tbl_material[],MATCH(F$11,tbl_material[material],0),MATCH(RP_SICUT!$C$56,tbl_material[#Headers],0))</f>
        <v>0.1</v>
      </c>
      <c r="G56" s="1"/>
      <c r="H56" s="1"/>
      <c r="I56" s="38">
        <f>INDEX(tbl_material[],MATCH(I$11,tbl_material[material],0),MATCH(RP_SICUT!$C$56,tbl_material[#Headers],0))</f>
        <v>0.1</v>
      </c>
      <c r="J56" s="1"/>
      <c r="K56" s="1"/>
      <c r="L56" s="38">
        <f>INDEX(tbl_material[],MATCH(L$11,tbl_material[material],0),MATCH(RP_SICUT!$C$56,tbl_material[#Headers],0))</f>
        <v>0.1</v>
      </c>
      <c r="M56" s="1"/>
      <c r="N56" s="1"/>
      <c r="O56" s="38">
        <f>INDEX(tbl_material[],MATCH(O$11,tbl_material[material],0),MATCH(RP_SICUT!$C$56,tbl_material[#Headers],0))</f>
        <v>0.1</v>
      </c>
      <c r="P56" s="1"/>
      <c r="Q56" s="1"/>
      <c r="R56" s="38">
        <f>INDEX(tbl_material[],MATCH(R$11,tbl_material[material],0),MATCH(RP_SICUT!$C$56,tbl_material[#Headers],0))</f>
        <v>0.1</v>
      </c>
      <c r="S56" s="1"/>
      <c r="T56" s="1"/>
    </row>
    <row r="57" spans="1:20" s="3" customFormat="1" ht="14.5" customHeight="1" x14ac:dyDescent="0.55000000000000004">
      <c r="A57" s="95"/>
      <c r="B57" s="92"/>
      <c r="C57" s="1" t="s">
        <v>58</v>
      </c>
      <c r="D57" s="1" t="s">
        <v>25</v>
      </c>
      <c r="E57" s="46" t="s">
        <v>2</v>
      </c>
      <c r="F57" s="15">
        <f>F55*F56</f>
        <v>2</v>
      </c>
      <c r="G57" s="1"/>
      <c r="H57" s="1"/>
      <c r="I57" s="15">
        <f>I55*I56</f>
        <v>2</v>
      </c>
      <c r="J57" s="1"/>
      <c r="K57" s="1"/>
      <c r="L57" s="15">
        <f>L55*L56</f>
        <v>2</v>
      </c>
      <c r="M57" s="1"/>
      <c r="N57" s="1"/>
      <c r="O57" s="15">
        <f>O55*O56</f>
        <v>2</v>
      </c>
      <c r="P57" s="1"/>
      <c r="Q57" s="1"/>
      <c r="R57" s="15">
        <f>R55*R56</f>
        <v>2</v>
      </c>
      <c r="S57" s="1"/>
      <c r="T57" s="1"/>
    </row>
    <row r="58" spans="1:20" s="3" customFormat="1" ht="14.5" customHeight="1" x14ac:dyDescent="0.55000000000000004">
      <c r="A58" s="95"/>
      <c r="B58" s="92"/>
      <c r="C58" s="1" t="s">
        <v>23</v>
      </c>
      <c r="D58" s="1" t="s">
        <v>25</v>
      </c>
      <c r="E58" s="46" t="s">
        <v>2</v>
      </c>
      <c r="F58" s="15">
        <f>F55*(1+F56)</f>
        <v>22</v>
      </c>
      <c r="G58" s="1"/>
      <c r="H58" s="1"/>
      <c r="I58" s="15">
        <f>I55*(1+I56)</f>
        <v>22</v>
      </c>
      <c r="J58" s="1"/>
      <c r="K58" s="1"/>
      <c r="L58" s="15">
        <f>L55*(1+L56)</f>
        <v>22</v>
      </c>
      <c r="M58" s="1"/>
      <c r="N58" s="1"/>
      <c r="O58" s="15">
        <f>O55*(1+O56)</f>
        <v>22</v>
      </c>
      <c r="P58" s="1"/>
      <c r="Q58" s="1"/>
      <c r="R58" s="15">
        <f>R55*(1+R56)</f>
        <v>22</v>
      </c>
      <c r="S58" s="1"/>
      <c r="T58" s="1"/>
    </row>
    <row r="59" spans="1:20" s="3" customFormat="1" ht="14.5" customHeight="1" x14ac:dyDescent="0.55000000000000004">
      <c r="A59" s="95"/>
      <c r="B59" s="1"/>
      <c r="C59" s="1"/>
      <c r="D59" s="1"/>
      <c r="E59" s="46"/>
      <c r="F59" s="4"/>
      <c r="G59" s="1"/>
      <c r="H59" s="1"/>
      <c r="I59" s="4"/>
      <c r="J59" s="1"/>
      <c r="K59" s="1"/>
      <c r="L59" s="4"/>
      <c r="M59" s="1"/>
      <c r="N59" s="1"/>
      <c r="O59" s="4"/>
      <c r="P59" s="1"/>
      <c r="Q59" s="1"/>
      <c r="R59" s="4"/>
      <c r="S59" s="1"/>
      <c r="T59" s="1"/>
    </row>
    <row r="60" spans="1:20" s="3" customFormat="1" ht="14.5" customHeight="1" x14ac:dyDescent="0.55000000000000004">
      <c r="A60" s="95"/>
      <c r="B60" s="92"/>
      <c r="C60" s="1" t="s">
        <v>8</v>
      </c>
      <c r="D60" s="1" t="s">
        <v>59</v>
      </c>
      <c r="E60" s="46" t="s">
        <v>1</v>
      </c>
      <c r="F60" s="38">
        <f>INDEX(tbl_material[],MATCH(F$11,tbl_material[material],0),MATCH(RP_SICUT!$C$60,tbl_material[#Headers],0))</f>
        <v>1</v>
      </c>
      <c r="G60" s="1"/>
      <c r="H60" s="1"/>
      <c r="I60" s="38">
        <f>INDEX(tbl_material[],MATCH(I$11,tbl_material[material],0),MATCH(RP_SICUT!$C$60,tbl_material[#Headers],0))</f>
        <v>1</v>
      </c>
      <c r="J60" s="1"/>
      <c r="K60" s="1"/>
      <c r="L60" s="38">
        <f>INDEX(tbl_material[],MATCH(L$11,tbl_material[material],0),MATCH(RP_SICUT!$C$60,tbl_material[#Headers],0))</f>
        <v>1</v>
      </c>
      <c r="M60" s="1"/>
      <c r="N60" s="1"/>
      <c r="O60" s="38">
        <f>INDEX(tbl_material[],MATCH(O$11,tbl_material[material],0),MATCH(RP_SICUT!$C$60,tbl_material[#Headers],0))</f>
        <v>1</v>
      </c>
      <c r="P60" s="1"/>
      <c r="Q60" s="1"/>
      <c r="R60" s="38">
        <f>INDEX(tbl_material[],MATCH(R$11,tbl_material[material],0),MATCH(RP_SICUT!$C$60,tbl_material[#Headers],0))</f>
        <v>1</v>
      </c>
      <c r="S60" s="1"/>
      <c r="T60" s="1"/>
    </row>
    <row r="61" spans="1:20" s="3" customFormat="1" ht="14.5" customHeight="1" x14ac:dyDescent="0.55000000000000004">
      <c r="A61" s="95"/>
      <c r="B61" s="92"/>
      <c r="C61" s="1" t="s">
        <v>9</v>
      </c>
      <c r="D61" s="1" t="s">
        <v>60</v>
      </c>
      <c r="E61" s="46" t="s">
        <v>1</v>
      </c>
      <c r="F61" s="38">
        <f>INDEX(tbl_material[],MATCH(F$11,tbl_material[material],0),MATCH(RP_SICUT!$C$61,tbl_material[#Headers],0))</f>
        <v>0.9</v>
      </c>
      <c r="G61" s="1"/>
      <c r="H61" s="1"/>
      <c r="I61" s="38">
        <f>INDEX(tbl_material[],MATCH(I$11,tbl_material[material],0),MATCH(RP_SICUT!$C$61,tbl_material[#Headers],0))</f>
        <v>0.9</v>
      </c>
      <c r="J61" s="1"/>
      <c r="K61" s="1"/>
      <c r="L61" s="38">
        <f>INDEX(tbl_material[],MATCH(L$11,tbl_material[material],0),MATCH(RP_SICUT!$C$61,tbl_material[#Headers],0))</f>
        <v>0.9</v>
      </c>
      <c r="M61" s="1"/>
      <c r="N61" s="1"/>
      <c r="O61" s="38">
        <f>INDEX(tbl_material[],MATCH(O$11,tbl_material[material],0),MATCH(RP_SICUT!$C$61,tbl_material[#Headers],0))</f>
        <v>0.9</v>
      </c>
      <c r="P61" s="1"/>
      <c r="Q61" s="1"/>
      <c r="R61" s="38">
        <f>INDEX(tbl_material[],MATCH(R$11,tbl_material[material],0),MATCH(RP_SICUT!$C$61,tbl_material[#Headers],0))</f>
        <v>0.9</v>
      </c>
      <c r="S61" s="1"/>
      <c r="T61" s="1"/>
    </row>
    <row r="62" spans="1:20" s="3" customFormat="1" ht="14.5" customHeight="1" x14ac:dyDescent="0.55000000000000004">
      <c r="A62" s="95"/>
      <c r="B62" s="92"/>
      <c r="C62" s="1" t="s">
        <v>62</v>
      </c>
      <c r="D62" s="1" t="s">
        <v>60</v>
      </c>
      <c r="E62" s="46" t="s">
        <v>1</v>
      </c>
      <c r="F62" s="38">
        <f>INDEX(tbl_material[],MATCH(F$11,tbl_material[material],0),MATCH(RP_SICUT!$C$62,tbl_material[#Headers],0))</f>
        <v>0</v>
      </c>
      <c r="G62" s="1"/>
      <c r="H62" s="1"/>
      <c r="I62" s="38">
        <f>INDEX(tbl_material[],MATCH(I$11,tbl_material[material],0),MATCH(RP_SICUT!$C$62,tbl_material[#Headers],0))</f>
        <v>0</v>
      </c>
      <c r="J62" s="1"/>
      <c r="K62" s="1"/>
      <c r="L62" s="38">
        <f>INDEX(tbl_material[],MATCH(L$11,tbl_material[material],0),MATCH(RP_SICUT!$C$62,tbl_material[#Headers],0))</f>
        <v>0</v>
      </c>
      <c r="M62" s="1"/>
      <c r="N62" s="1"/>
      <c r="O62" s="38">
        <f>INDEX(tbl_material[],MATCH(O$11,tbl_material[material],0),MATCH(RP_SICUT!$C$62,tbl_material[#Headers],0))</f>
        <v>0</v>
      </c>
      <c r="P62" s="1"/>
      <c r="Q62" s="1"/>
      <c r="R62" s="38">
        <f>INDEX(tbl_material[],MATCH(R$11,tbl_material[material],0),MATCH(RP_SICUT!$C$62,tbl_material[#Headers],0))</f>
        <v>0</v>
      </c>
      <c r="S62" s="1"/>
      <c r="T62" s="1"/>
    </row>
    <row r="63" spans="1:20" s="3" customFormat="1" ht="14.5" customHeight="1" x14ac:dyDescent="0.55000000000000004">
      <c r="A63" s="95"/>
      <c r="B63" s="92"/>
      <c r="C63" s="1" t="s">
        <v>22</v>
      </c>
      <c r="D63" s="1" t="s">
        <v>60</v>
      </c>
      <c r="E63" s="46" t="s">
        <v>1</v>
      </c>
      <c r="F63" s="4">
        <f>1-F60+F60*(1-F61-F62)</f>
        <v>9.9999999999999978E-2</v>
      </c>
      <c r="G63" s="4"/>
      <c r="H63" s="4"/>
      <c r="I63" s="4">
        <f>1-I60+I60*(1-I61-I62)</f>
        <v>9.9999999999999978E-2</v>
      </c>
      <c r="J63" s="4"/>
      <c r="K63" s="4"/>
      <c r="L63" s="4">
        <f>1-L60+L60*(1-L61-L62)</f>
        <v>9.9999999999999978E-2</v>
      </c>
      <c r="M63" s="4"/>
      <c r="N63" s="4"/>
      <c r="O63" s="4">
        <f>1-O60+O60*(1-O61-O62)</f>
        <v>9.9999999999999978E-2</v>
      </c>
      <c r="P63" s="4"/>
      <c r="Q63" s="4"/>
      <c r="R63" s="4">
        <f>1-R60+R60*(1-R61-R62)</f>
        <v>9.9999999999999978E-2</v>
      </c>
      <c r="S63" s="4"/>
      <c r="T63" s="4"/>
    </row>
    <row r="64" spans="1:20" s="3" customFormat="1" ht="14.5" customHeight="1" x14ac:dyDescent="0.55000000000000004">
      <c r="A64" s="95"/>
      <c r="B64" s="1"/>
      <c r="C64" s="1"/>
      <c r="D64" s="1"/>
      <c r="E64" s="46"/>
      <c r="F64" s="4"/>
      <c r="G64" s="1"/>
      <c r="H64" s="1"/>
      <c r="I64" s="4"/>
      <c r="J64" s="1"/>
      <c r="K64" s="1"/>
      <c r="L64" s="4"/>
      <c r="M64" s="1"/>
      <c r="N64" s="1"/>
      <c r="O64" s="4"/>
      <c r="P64" s="1"/>
      <c r="Q64" s="1"/>
      <c r="R64" s="4"/>
      <c r="S64" s="1"/>
      <c r="T64" s="1"/>
    </row>
    <row r="65" spans="1:20" s="3" customFormat="1" ht="14.5" customHeight="1" x14ac:dyDescent="0.55000000000000004">
      <c r="A65" s="95"/>
      <c r="B65" s="92"/>
      <c r="C65" s="1" t="s">
        <v>8</v>
      </c>
      <c r="D65" s="1" t="s">
        <v>20</v>
      </c>
      <c r="E65" s="46" t="s">
        <v>1</v>
      </c>
      <c r="F65" s="38">
        <f>INDEX(tbl_material[],MATCH(F$11,tbl_material[material],0),MATCH(RP_SICUT!$F$6,tbl_material[#Headers],0))</f>
        <v>1</v>
      </c>
      <c r="G65" s="24"/>
      <c r="H65" s="24"/>
      <c r="I65" s="38">
        <f>INDEX(tbl_material[],MATCH(I$11,tbl_material[material],0),MATCH(RP_SICUT!I$6,tbl_material[#Headers],0))</f>
        <v>1</v>
      </c>
      <c r="J65" s="24"/>
      <c r="K65" s="24"/>
      <c r="L65" s="38">
        <f>INDEX(tbl_material[],MATCH(L$11,tbl_material[material],0),MATCH(RP_SICUT!L$6,tbl_material[#Headers],0))</f>
        <v>1</v>
      </c>
      <c r="M65" s="24"/>
      <c r="N65" s="24"/>
      <c r="O65" s="38">
        <f>INDEX(tbl_material[],MATCH(O$11,tbl_material[material],0),MATCH(RP_SICUT!O$6,tbl_material[#Headers],0))</f>
        <v>1</v>
      </c>
      <c r="P65" s="24"/>
      <c r="Q65" s="24"/>
      <c r="R65" s="38">
        <f>INDEX(tbl_material[],MATCH(R$11,tbl_material[material],0),MATCH(RP_SICUT!R$6,tbl_material[#Headers],0))</f>
        <v>1</v>
      </c>
      <c r="S65" s="24"/>
      <c r="T65" s="24"/>
    </row>
    <row r="66" spans="1:20" s="3" customFormat="1" ht="14.5" customHeight="1" x14ac:dyDescent="0.55000000000000004">
      <c r="A66" s="95"/>
      <c r="B66" s="92"/>
      <c r="C66" s="1" t="s">
        <v>9</v>
      </c>
      <c r="D66" s="1" t="s">
        <v>61</v>
      </c>
      <c r="E66" s="46" t="s">
        <v>1</v>
      </c>
      <c r="F66" s="38">
        <f>INDEX(tbl_material[],MATCH(F$11,tbl_material[material],0),MATCH(RP_SICUT!$F$7,tbl_material[#Headers],0))</f>
        <v>0</v>
      </c>
      <c r="G66" s="4"/>
      <c r="H66" s="4"/>
      <c r="I66" s="38">
        <f>INDEX(tbl_material[],MATCH(I$11,tbl_material[material],0),MATCH(RP_SICUT!I$7,tbl_material[#Headers],0))</f>
        <v>0.5</v>
      </c>
      <c r="J66" s="4"/>
      <c r="K66" s="4"/>
      <c r="L66" s="38">
        <f>INDEX(tbl_material[],MATCH(L$11,tbl_material[material],0),MATCH(RP_SICUT!L$7,tbl_material[#Headers],0))</f>
        <v>0.5</v>
      </c>
      <c r="M66" s="4"/>
      <c r="N66" s="4"/>
      <c r="O66" s="38">
        <f>INDEX(tbl_material[],MATCH(O$11,tbl_material[material],0),MATCH(RP_SICUT!O$7,tbl_material[#Headers],0))</f>
        <v>0.5</v>
      </c>
      <c r="P66" s="4"/>
      <c r="Q66" s="4"/>
      <c r="R66" s="38">
        <f>INDEX(tbl_material[],MATCH(R$11,tbl_material[material],0),MATCH(RP_SICUT!R$7,tbl_material[#Headers],0))</f>
        <v>0</v>
      </c>
      <c r="S66" s="4"/>
      <c r="T66" s="4"/>
    </row>
    <row r="67" spans="1:20" s="3" customFormat="1" ht="14.5" customHeight="1" x14ac:dyDescent="0.55000000000000004">
      <c r="A67" s="95"/>
      <c r="B67" s="92"/>
      <c r="C67" s="1" t="s">
        <v>62</v>
      </c>
      <c r="D67" s="1" t="s">
        <v>61</v>
      </c>
      <c r="E67" s="46" t="s">
        <v>1</v>
      </c>
      <c r="F67" s="38">
        <f>INDEX(tbl_material[],MATCH(F$11,tbl_material[material],0),MATCH(RP_SICUT!$F$8,tbl_material[#Headers],0))</f>
        <v>0</v>
      </c>
      <c r="G67" s="4"/>
      <c r="H67" s="4"/>
      <c r="I67" s="38">
        <f>INDEX(tbl_material[],MATCH(I$11,tbl_material[material],0),MATCH(RP_SICUT!I$8,tbl_material[#Headers],0))</f>
        <v>0.4</v>
      </c>
      <c r="J67" s="4"/>
      <c r="K67" s="4"/>
      <c r="L67" s="38">
        <f>INDEX(tbl_material[],MATCH(L$11,tbl_material[material],0),MATCH(RP_SICUT!L$8,tbl_material[#Headers],0))</f>
        <v>0.4</v>
      </c>
      <c r="M67" s="4"/>
      <c r="N67" s="4"/>
      <c r="O67" s="38">
        <f>INDEX(tbl_material[],MATCH(O$11,tbl_material[material],0),MATCH(RP_SICUT!O$8,tbl_material[#Headers],0))</f>
        <v>0.4</v>
      </c>
      <c r="P67" s="4"/>
      <c r="Q67" s="4"/>
      <c r="R67" s="38">
        <f>INDEX(tbl_material[],MATCH(R$11,tbl_material[material],0),MATCH(RP_SICUT!R$8,tbl_material[#Headers],0))</f>
        <v>0</v>
      </c>
      <c r="S67" s="4"/>
      <c r="T67" s="4"/>
    </row>
    <row r="68" spans="1:20" s="3" customFormat="1" ht="14.5" customHeight="1" x14ac:dyDescent="0.55000000000000004">
      <c r="A68" s="95"/>
      <c r="B68" s="92"/>
      <c r="C68" s="1" t="s">
        <v>22</v>
      </c>
      <c r="D68" s="1" t="s">
        <v>61</v>
      </c>
      <c r="E68" s="46" t="s">
        <v>1</v>
      </c>
      <c r="F68" s="4">
        <f>1-F65+F65*(1-F66-F67)</f>
        <v>1</v>
      </c>
      <c r="G68" s="4"/>
      <c r="H68" s="4"/>
      <c r="I68" s="4">
        <f>1-I65+I65*(1-I66-I67)</f>
        <v>9.9999999999999978E-2</v>
      </c>
      <c r="J68" s="4"/>
      <c r="K68" s="4"/>
      <c r="L68" s="4">
        <f>1-L65+L65*(1-L66-L67)</f>
        <v>9.9999999999999978E-2</v>
      </c>
      <c r="M68" s="4"/>
      <c r="N68" s="4"/>
      <c r="O68" s="4">
        <f>1-O65+O65*(1-O66-O67)</f>
        <v>9.9999999999999978E-2</v>
      </c>
      <c r="P68" s="4"/>
      <c r="Q68" s="4"/>
      <c r="R68" s="4">
        <f>1-R65+R65*(1-R66-R67)</f>
        <v>1</v>
      </c>
      <c r="S68" s="4"/>
      <c r="T68" s="4"/>
    </row>
    <row r="69" spans="1:20" s="3" customFormat="1" ht="14.5" customHeight="1" x14ac:dyDescent="0.55000000000000004">
      <c r="A69" s="95"/>
      <c r="B69" s="1"/>
      <c r="C69" s="1"/>
      <c r="D69" s="1"/>
      <c r="E69" s="4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s="3" customFormat="1" ht="14.5" customHeight="1" x14ac:dyDescent="0.55000000000000004">
      <c r="A70" s="95"/>
      <c r="B70" s="92"/>
      <c r="C70" s="1" t="s">
        <v>5</v>
      </c>
      <c r="D70" s="1" t="s">
        <v>35</v>
      </c>
      <c r="E70" s="46" t="s">
        <v>1</v>
      </c>
      <c r="F70" s="11">
        <f>(F60*F61*F56+F65*F66)/(1+F56)</f>
        <v>8.1818181818181818E-2</v>
      </c>
      <c r="G70" s="11"/>
      <c r="H70" s="11"/>
      <c r="I70" s="11">
        <f>(I60*I61*I56+I65*I66)/(1+I56)</f>
        <v>0.53636363636363626</v>
      </c>
      <c r="J70" s="11"/>
      <c r="K70" s="11"/>
      <c r="L70" s="11">
        <f>(L60*L61*L56+L65*L66)/(1+L56)</f>
        <v>0.53636363636363626</v>
      </c>
      <c r="M70" s="11"/>
      <c r="N70" s="11"/>
      <c r="O70" s="11">
        <f>(O60*O61*O56+O65*O66)/(1+O56)</f>
        <v>0.53636363636363626</v>
      </c>
      <c r="P70" s="11"/>
      <c r="Q70" s="11"/>
      <c r="R70" s="11">
        <f>(R60*R61*R56+R65*R66)/(1+R56)</f>
        <v>8.1818181818181818E-2</v>
      </c>
      <c r="S70" s="11"/>
      <c r="T70" s="11"/>
    </row>
    <row r="71" spans="1:20" s="3" customFormat="1" ht="14.5" customHeight="1" x14ac:dyDescent="0.55000000000000004">
      <c r="A71" s="95"/>
      <c r="B71" s="92"/>
      <c r="C71" s="1" t="s">
        <v>4</v>
      </c>
      <c r="D71" s="1" t="s">
        <v>35</v>
      </c>
      <c r="E71" s="46" t="s">
        <v>1</v>
      </c>
      <c r="F71" s="11">
        <f>(F60*F62*F56+F65*F67)/(1+F56)</f>
        <v>0</v>
      </c>
      <c r="G71" s="11"/>
      <c r="H71" s="11"/>
      <c r="I71" s="11">
        <f>(I60*I62*I56+I65*I67)/(1+I56)</f>
        <v>0.36363636363636365</v>
      </c>
      <c r="J71" s="11"/>
      <c r="K71" s="11"/>
      <c r="L71" s="11">
        <f>(L60*L62*L56+L65*L67)/(1+L56)</f>
        <v>0.36363636363636365</v>
      </c>
      <c r="M71" s="11"/>
      <c r="N71" s="11"/>
      <c r="O71" s="11">
        <f>(O60*O62*O56+O65*O67)/(1+O56)</f>
        <v>0.36363636363636365</v>
      </c>
      <c r="P71" s="11"/>
      <c r="Q71" s="11"/>
      <c r="R71" s="11">
        <f>(R60*R62*R56+R65*R67)/(1+R56)</f>
        <v>0</v>
      </c>
      <c r="S71" s="11"/>
      <c r="T71" s="11"/>
    </row>
    <row r="72" spans="1:20" s="3" customFormat="1" ht="14.5" customHeight="1" x14ac:dyDescent="0.55000000000000004">
      <c r="A72" s="95"/>
      <c r="B72" s="92"/>
      <c r="C72" s="1" t="s">
        <v>6</v>
      </c>
      <c r="D72" s="1" t="s">
        <v>35</v>
      </c>
      <c r="E72" s="46" t="s">
        <v>1</v>
      </c>
      <c r="F72" s="4">
        <f>1-F70-F71</f>
        <v>0.91818181818181821</v>
      </c>
      <c r="G72" s="4"/>
      <c r="H72" s="4"/>
      <c r="I72" s="4">
        <f>1-I70-I71</f>
        <v>0.10000000000000009</v>
      </c>
      <c r="J72" s="4"/>
      <c r="K72" s="4"/>
      <c r="L72" s="4">
        <f>1-L70-L71</f>
        <v>0.10000000000000009</v>
      </c>
      <c r="M72" s="4"/>
      <c r="N72" s="4"/>
      <c r="O72" s="4">
        <f>1-O70-O71</f>
        <v>0.10000000000000009</v>
      </c>
      <c r="P72" s="4"/>
      <c r="Q72" s="4"/>
      <c r="R72" s="4">
        <f>1-R70-R71</f>
        <v>0.91818181818181821</v>
      </c>
      <c r="S72" s="4"/>
      <c r="T72" s="4"/>
    </row>
    <row r="73" spans="1:20" s="3" customFormat="1" ht="14.5" customHeight="1" x14ac:dyDescent="0.55000000000000004">
      <c r="A73" s="95"/>
      <c r="B73" s="1"/>
      <c r="C73" s="1"/>
      <c r="D73" s="1"/>
      <c r="E73" s="4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s="3" customFormat="1" ht="14.5" customHeight="1" x14ac:dyDescent="0.65">
      <c r="A74" s="95"/>
      <c r="B74" s="9" t="s">
        <v>31</v>
      </c>
      <c r="C74" s="3" t="s">
        <v>43</v>
      </c>
      <c r="D74" s="3" t="s">
        <v>38</v>
      </c>
      <c r="E74" s="25" t="s">
        <v>1</v>
      </c>
      <c r="F74" s="6">
        <f>(0.5*F55/F50)*(1+F56)*(1/F19)*(1+F52*(1-F70)-F70-F71)</f>
        <v>2.6448777795453965E-12</v>
      </c>
      <c r="G74" s="5"/>
      <c r="H74" s="5"/>
      <c r="I74" s="6">
        <f>(0.5*I55/I50)*(1+I56)*(1/I19)*(1+I52*(1-I70)-I70-I71)</f>
        <v>4.7791108392775757E-13</v>
      </c>
      <c r="J74" s="5"/>
      <c r="K74" s="5"/>
      <c r="L74" s="6">
        <f>(0.5*L55/L50)*(1+L56)*(1/L19)*(1+L52*(1-L70)-L70-L71)</f>
        <v>3.1860738928517168E-13</v>
      </c>
      <c r="M74" s="5"/>
      <c r="N74" s="5"/>
      <c r="O74" s="6">
        <f>(0.5*O55/O50)*(1+O56)*(1/O19)*(1+O52*(1-O70)-O70-O71)</f>
        <v>2.3895554196387878E-13</v>
      </c>
      <c r="P74" s="5"/>
      <c r="Q74" s="5"/>
      <c r="R74" s="6">
        <f>(0.5*R55/R50)*(1+R56)*(1/R19)*(1+R52*(1-R70)-R70-R71)</f>
        <v>1.3224388897726983E-12</v>
      </c>
      <c r="S74" s="5"/>
      <c r="T74" s="5"/>
    </row>
    <row r="75" spans="1:20" s="3" customFormat="1" ht="14.5" customHeight="1" x14ac:dyDescent="0.65">
      <c r="A75" s="9"/>
      <c r="B75" s="9"/>
      <c r="E75" s="25"/>
      <c r="F75" s="6"/>
      <c r="G75" s="5"/>
      <c r="H75" s="5"/>
      <c r="I75" s="6"/>
      <c r="J75" s="5"/>
      <c r="K75" s="5"/>
      <c r="L75" s="6"/>
      <c r="M75" s="5"/>
      <c r="N75" s="5"/>
      <c r="O75" s="6"/>
      <c r="P75" s="5"/>
      <c r="Q75" s="5"/>
      <c r="R75" s="6"/>
      <c r="S75" s="5"/>
      <c r="T75" s="5"/>
    </row>
    <row r="76" spans="1:20" customFormat="1" ht="14.5" customHeight="1" x14ac:dyDescent="0.65">
      <c r="A76" s="53"/>
      <c r="B76" s="9"/>
      <c r="C76" s="3"/>
      <c r="D76" s="1"/>
      <c r="E76" s="25"/>
      <c r="F76" s="6"/>
      <c r="G76" s="5"/>
      <c r="H76" s="5"/>
      <c r="I76" s="6"/>
      <c r="J76" s="5"/>
      <c r="K76" s="5"/>
      <c r="L76" s="6"/>
      <c r="M76" s="5"/>
      <c r="N76" s="5"/>
      <c r="O76" s="6"/>
      <c r="P76" s="5"/>
      <c r="Q76" s="5"/>
      <c r="R76" s="6"/>
      <c r="S76" s="5"/>
      <c r="T76" s="5"/>
    </row>
    <row r="77" spans="1:20" customFormat="1" x14ac:dyDescent="0.55000000000000004">
      <c r="A77" s="88" t="s">
        <v>41</v>
      </c>
      <c r="B77" s="46" t="s">
        <v>50</v>
      </c>
      <c r="C77" s="1" t="s">
        <v>41</v>
      </c>
      <c r="D77" s="1"/>
      <c r="E77" s="46"/>
      <c r="F77" s="1"/>
      <c r="G77" s="1" t="s">
        <v>67</v>
      </c>
      <c r="H77" s="1"/>
      <c r="I77" s="1"/>
      <c r="J77" s="1" t="s">
        <v>67</v>
      </c>
      <c r="K77" s="1"/>
      <c r="L77" s="1"/>
      <c r="M77" s="1" t="s">
        <v>67</v>
      </c>
      <c r="N77" s="1"/>
      <c r="O77" s="1"/>
      <c r="P77" s="1" t="s">
        <v>67</v>
      </c>
      <c r="Q77" s="1"/>
      <c r="R77" s="1"/>
      <c r="S77" s="1" t="s">
        <v>67</v>
      </c>
      <c r="T77" s="1"/>
    </row>
    <row r="78" spans="1:20" customFormat="1" x14ac:dyDescent="0.55000000000000004">
      <c r="A78" s="88"/>
      <c r="B78" s="25" t="s">
        <v>10</v>
      </c>
      <c r="C78" s="1" t="s">
        <v>26</v>
      </c>
      <c r="D78" s="1" t="s">
        <v>110</v>
      </c>
      <c r="E78" s="46" t="s">
        <v>48</v>
      </c>
      <c r="F78" s="5">
        <f>VLOOKUP($D78,tbl_ERP[],7,0)</f>
        <v>756806038323.21313</v>
      </c>
      <c r="G78" s="38">
        <f>INDEX(tbl_electricity[],MATCH($D$78,tbl_electricity[ERP identifier],0),MATCH(RP_SICUT!F$12,tbl_electricity[#Headers],0))</f>
        <v>0</v>
      </c>
      <c r="H78" s="1"/>
      <c r="I78" s="5">
        <f>VLOOKUP($D78,tbl_ERP[],7,0)</f>
        <v>756806038323.21313</v>
      </c>
      <c r="J78" s="38">
        <f>INDEX(tbl_electricity[],MATCH($D$78,tbl_electricity[ERP identifier],0),MATCH(RP_SICUT!I$12,tbl_electricity[#Headers],0))</f>
        <v>0</v>
      </c>
      <c r="K78" s="1"/>
      <c r="L78" s="5">
        <f>VLOOKUP($D78,tbl_ERP[],7,0)</f>
        <v>756806038323.21313</v>
      </c>
      <c r="M78" s="38">
        <f>INDEX(tbl_electricity[],MATCH($D$78,tbl_electricity[ERP identifier],0),MATCH(RP_SICUT!L$12,tbl_electricity[#Headers],0))</f>
        <v>0</v>
      </c>
      <c r="N78" s="1"/>
      <c r="O78" s="5">
        <f>VLOOKUP($D78,tbl_ERP[],7,0)</f>
        <v>756806038323.21313</v>
      </c>
      <c r="P78" s="38">
        <f>INDEX(tbl_electricity[],MATCH($D$78,tbl_electricity[ERP identifier],0),MATCH(RP_SICUT!O$12,tbl_electricity[#Headers],0))</f>
        <v>0</v>
      </c>
      <c r="Q78" s="1"/>
      <c r="R78" s="5">
        <f>VLOOKUP($D78,tbl_ERP[],7,0)</f>
        <v>756806038323.21313</v>
      </c>
      <c r="S78" s="38">
        <f>INDEX(tbl_electricity[],MATCH($D$78,tbl_electricity[ERP identifier],0),MATCH(RP_SICUT!R$12,tbl_electricity[#Headers],0))</f>
        <v>0</v>
      </c>
      <c r="T78" s="1"/>
    </row>
    <row r="79" spans="1:20" customFormat="1" x14ac:dyDescent="0.55000000000000004">
      <c r="A79" s="88"/>
      <c r="B79" s="25"/>
      <c r="C79" s="1"/>
      <c r="D79" s="1" t="s">
        <v>111</v>
      </c>
      <c r="E79" s="46" t="s">
        <v>48</v>
      </c>
      <c r="F79" s="5">
        <f>VLOOKUP($D79,tbl_ERP[],7,0)</f>
        <v>880208103798.97388</v>
      </c>
      <c r="G79" s="38">
        <f>INDEX(tbl_electricity[],MATCH($D$79,tbl_electricity[ERP identifier],0),MATCH(RP_SICUT!F$12,tbl_electricity[#Headers],0))</f>
        <v>0</v>
      </c>
      <c r="H79" s="1"/>
      <c r="I79" s="5">
        <f>VLOOKUP($D79,tbl_ERP[],7,0)</f>
        <v>880208103798.97388</v>
      </c>
      <c r="J79" s="38">
        <f>INDEX(tbl_electricity[],MATCH($D$79,tbl_electricity[ERP identifier],0),MATCH(RP_SICUT!I$12,tbl_electricity[#Headers],0))</f>
        <v>0</v>
      </c>
      <c r="K79" s="1"/>
      <c r="L79" s="5">
        <f>VLOOKUP($D79,tbl_ERP[],7,0)</f>
        <v>880208103798.97388</v>
      </c>
      <c r="M79" s="38">
        <f>INDEX(tbl_electricity[],MATCH($D$79,tbl_electricity[ERP identifier],0),MATCH(RP_SICUT!L$12,tbl_electricity[#Headers],0))</f>
        <v>0</v>
      </c>
      <c r="N79" s="1"/>
      <c r="O79" s="5">
        <f>VLOOKUP($D79,tbl_ERP[],7,0)</f>
        <v>880208103798.97388</v>
      </c>
      <c r="P79" s="38">
        <f>INDEX(tbl_electricity[],MATCH($D$79,tbl_electricity[ERP identifier],0),MATCH(RP_SICUT!O$12,tbl_electricity[#Headers],0))</f>
        <v>0</v>
      </c>
      <c r="Q79" s="1"/>
      <c r="R79" s="5">
        <f>VLOOKUP($D79,tbl_ERP[],7,0)</f>
        <v>880208103798.97388</v>
      </c>
      <c r="S79" s="38">
        <f>INDEX(tbl_electricity[],MATCH($D$79,tbl_electricity[ERP identifier],0),MATCH(RP_SICUT!R$12,tbl_electricity[#Headers],0))</f>
        <v>0</v>
      </c>
      <c r="T79" s="1"/>
    </row>
    <row r="80" spans="1:20" customFormat="1" x14ac:dyDescent="0.55000000000000004">
      <c r="A80" s="88"/>
      <c r="B80" s="25"/>
      <c r="C80" s="1"/>
      <c r="D80" s="1" t="s">
        <v>112</v>
      </c>
      <c r="E80" s="46" t="s">
        <v>48</v>
      </c>
      <c r="F80" s="5">
        <f>VLOOKUP($D80,tbl_ERP[],7,0)</f>
        <v>1421033763401.1748</v>
      </c>
      <c r="G80" s="38">
        <f>INDEX(tbl_electricity[],MATCH($D$80,tbl_electricity[ERP identifier],0),MATCH(RP_SICUT!F$12,tbl_electricity[#Headers],0))</f>
        <v>1.9E-2</v>
      </c>
      <c r="H80" s="1"/>
      <c r="I80" s="5">
        <f>VLOOKUP($D80,tbl_ERP[],7,0)</f>
        <v>1421033763401.1748</v>
      </c>
      <c r="J80" s="38">
        <f>INDEX(tbl_electricity[],MATCH($D$80,tbl_electricity[ERP identifier],0),MATCH(RP_SICUT!I$12,tbl_electricity[#Headers],0))</f>
        <v>1.9E-2</v>
      </c>
      <c r="K80" s="1"/>
      <c r="L80" s="5">
        <f>VLOOKUP($D80,tbl_ERP[],7,0)</f>
        <v>1421033763401.1748</v>
      </c>
      <c r="M80" s="38">
        <f>INDEX(tbl_electricity[],MATCH($D$80,tbl_electricity[ERP identifier],0),MATCH(RP_SICUT!L$12,tbl_electricity[#Headers],0))</f>
        <v>1.9E-2</v>
      </c>
      <c r="N80" s="1"/>
      <c r="O80" s="5">
        <f>VLOOKUP($D80,tbl_ERP[],7,0)</f>
        <v>1421033763401.1748</v>
      </c>
      <c r="P80" s="38">
        <f>INDEX(tbl_electricity[],MATCH($D$80,tbl_electricity[ERP identifier],0),MATCH(RP_SICUT!O$12,tbl_electricity[#Headers],0))</f>
        <v>1.9E-2</v>
      </c>
      <c r="Q80" s="1"/>
      <c r="R80" s="5">
        <f>VLOOKUP($D80,tbl_ERP[],7,0)</f>
        <v>1421033763401.1748</v>
      </c>
      <c r="S80" s="38">
        <f>INDEX(tbl_electricity[],MATCH($D$80,tbl_electricity[ERP identifier],0),MATCH(RP_SICUT!R$12,tbl_electricity[#Headers],0))</f>
        <v>1.9E-2</v>
      </c>
      <c r="T80" s="1"/>
    </row>
    <row r="81" spans="1:20" customFormat="1" x14ac:dyDescent="0.55000000000000004">
      <c r="A81" s="88"/>
      <c r="B81" s="25"/>
      <c r="C81" s="1"/>
      <c r="D81" s="1" t="s">
        <v>113</v>
      </c>
      <c r="E81" s="46" t="s">
        <v>48</v>
      </c>
      <c r="F81" s="5">
        <f>VLOOKUP($D81,tbl_ERP[],7,0)</f>
        <v>7031194165791.167</v>
      </c>
      <c r="G81" s="38">
        <f>INDEX(tbl_electricity[],MATCH($D$81,tbl_electricity[ERP identifier],0),MATCH(RP_SICUT!F$12,tbl_electricity[#Headers],0))</f>
        <v>0.28899999999999998</v>
      </c>
      <c r="H81" s="1"/>
      <c r="I81" s="5">
        <f>VLOOKUP($D81,tbl_ERP[],7,0)</f>
        <v>7031194165791.167</v>
      </c>
      <c r="J81" s="38">
        <f>INDEX(tbl_electricity[],MATCH($D$81,tbl_electricity[ERP identifier],0),MATCH(RP_SICUT!I$12,tbl_electricity[#Headers],0))</f>
        <v>0.28899999999999998</v>
      </c>
      <c r="K81" s="1"/>
      <c r="L81" s="5">
        <f>VLOOKUP($D81,tbl_ERP[],7,0)</f>
        <v>7031194165791.167</v>
      </c>
      <c r="M81" s="38">
        <f>INDEX(tbl_electricity[],MATCH($D$81,tbl_electricity[ERP identifier],0),MATCH(RP_SICUT!L$12,tbl_electricity[#Headers],0))</f>
        <v>0.28899999999999998</v>
      </c>
      <c r="N81" s="1"/>
      <c r="O81" s="5">
        <f>VLOOKUP($D81,tbl_ERP[],7,0)</f>
        <v>7031194165791.167</v>
      </c>
      <c r="P81" s="38">
        <f>INDEX(tbl_electricity[],MATCH($D$81,tbl_electricity[ERP identifier],0),MATCH(RP_SICUT!O$12,tbl_electricity[#Headers],0))</f>
        <v>0.28899999999999998</v>
      </c>
      <c r="Q81" s="1"/>
      <c r="R81" s="5">
        <f>VLOOKUP($D81,tbl_ERP[],7,0)</f>
        <v>7031194165791.167</v>
      </c>
      <c r="S81" s="38">
        <f>INDEX(tbl_electricity[],MATCH($D$81,tbl_electricity[ERP identifier],0),MATCH(RP_SICUT!R$12,tbl_electricity[#Headers],0))</f>
        <v>0.28899999999999998</v>
      </c>
      <c r="T81" s="1"/>
    </row>
    <row r="82" spans="1:20" customFormat="1" x14ac:dyDescent="0.55000000000000004">
      <c r="A82" s="88"/>
      <c r="B82" s="25"/>
      <c r="C82" s="1"/>
      <c r="D82" s="1" t="s">
        <v>114</v>
      </c>
      <c r="E82" s="46" t="s">
        <v>48</v>
      </c>
      <c r="F82" s="5">
        <f>VLOOKUP($D82,tbl_ERP[],7,0)</f>
        <v>1130000000000</v>
      </c>
      <c r="G82" s="38">
        <f>INDEX(tbl_electricity[],MATCH($D$82,tbl_electricity[ERP identifier],0),MATCH(RP_SICUT!F$12,tbl_electricity[#Headers],0))</f>
        <v>0.01</v>
      </c>
      <c r="H82" s="1"/>
      <c r="I82" s="5">
        <f>VLOOKUP($D82,tbl_ERP[],7,0)</f>
        <v>1130000000000</v>
      </c>
      <c r="J82" s="38">
        <f>INDEX(tbl_electricity[],MATCH($D$82,tbl_electricity[ERP identifier],0),MATCH(RP_SICUT!I$12,tbl_electricity[#Headers],0))</f>
        <v>0.01</v>
      </c>
      <c r="K82" s="1"/>
      <c r="L82" s="5">
        <f>VLOOKUP($D82,tbl_ERP[],7,0)</f>
        <v>1130000000000</v>
      </c>
      <c r="M82" s="38">
        <f>INDEX(tbl_electricity[],MATCH($D$82,tbl_electricity[ERP identifier],0),MATCH(RP_SICUT!L$12,tbl_electricity[#Headers],0))</f>
        <v>0.01</v>
      </c>
      <c r="N82" s="1"/>
      <c r="O82" s="5">
        <f>VLOOKUP($D82,tbl_ERP[],7,0)</f>
        <v>1130000000000</v>
      </c>
      <c r="P82" s="38">
        <f>INDEX(tbl_electricity[],MATCH($D$82,tbl_electricity[ERP identifier],0),MATCH(RP_SICUT!O$12,tbl_electricity[#Headers],0))</f>
        <v>0.01</v>
      </c>
      <c r="Q82" s="1"/>
      <c r="R82" s="5">
        <f>VLOOKUP($D82,tbl_ERP[],7,0)</f>
        <v>1130000000000</v>
      </c>
      <c r="S82" s="38">
        <f>INDEX(tbl_electricity[],MATCH($D$82,tbl_electricity[ERP identifier],0),MATCH(RP_SICUT!R$12,tbl_electricity[#Headers],0))</f>
        <v>0.01</v>
      </c>
      <c r="T82" s="1"/>
    </row>
    <row r="83" spans="1:20" customFormat="1" x14ac:dyDescent="0.55000000000000004">
      <c r="A83" s="88"/>
      <c r="B83" s="25"/>
      <c r="C83" s="1"/>
      <c r="D83" s="1" t="s">
        <v>115</v>
      </c>
      <c r="E83" s="46" t="s">
        <v>48</v>
      </c>
      <c r="F83" s="5">
        <f>VLOOKUP($D83,tbl_ERP[],7,0)</f>
        <v>984000000000</v>
      </c>
      <c r="G83" s="38">
        <f>INDEX(tbl_electricity[],MATCH($D$83,tbl_electricity[ERP identifier],0),MATCH(RP_SICUT!F$12,tbl_electricity[#Headers],0))</f>
        <v>0</v>
      </c>
      <c r="H83" s="1"/>
      <c r="I83" s="5">
        <f>VLOOKUP($D83,tbl_ERP[],7,0)</f>
        <v>984000000000</v>
      </c>
      <c r="J83" s="38">
        <f>INDEX(tbl_electricity[],MATCH($D$83,tbl_electricity[ERP identifier],0),MATCH(RP_SICUT!I$12,tbl_electricity[#Headers],0))</f>
        <v>0</v>
      </c>
      <c r="K83" s="1"/>
      <c r="L83" s="5">
        <f>VLOOKUP($D83,tbl_ERP[],7,0)</f>
        <v>984000000000</v>
      </c>
      <c r="M83" s="38">
        <f>INDEX(tbl_electricity[],MATCH($D$83,tbl_electricity[ERP identifier],0),MATCH(RP_SICUT!L$12,tbl_electricity[#Headers],0))</f>
        <v>0</v>
      </c>
      <c r="N83" s="1"/>
      <c r="O83" s="5">
        <f>VLOOKUP($D83,tbl_ERP[],7,0)</f>
        <v>984000000000</v>
      </c>
      <c r="P83" s="38">
        <f>INDEX(tbl_electricity[],MATCH($D$83,tbl_electricity[ERP identifier],0),MATCH(RP_SICUT!O$12,tbl_electricity[#Headers],0))</f>
        <v>0</v>
      </c>
      <c r="Q83" s="1"/>
      <c r="R83" s="5">
        <f>VLOOKUP($D83,tbl_ERP[],7,0)</f>
        <v>984000000000</v>
      </c>
      <c r="S83" s="38">
        <f>INDEX(tbl_electricity[],MATCH($D$83,tbl_electricity[ERP identifier],0),MATCH(RP_SICUT!R$12,tbl_electricity[#Headers],0))</f>
        <v>0</v>
      </c>
      <c r="T83" s="1"/>
    </row>
    <row r="84" spans="1:20" customFormat="1" ht="14.5" customHeight="1" x14ac:dyDescent="0.55000000000000004">
      <c r="A84" s="88"/>
      <c r="B84" s="25"/>
      <c r="C84" s="1"/>
      <c r="D84" s="1" t="s">
        <v>279</v>
      </c>
      <c r="E84" s="46" t="s">
        <v>48</v>
      </c>
      <c r="F84" s="5">
        <f>VLOOKUP($D84,tbl_ERP[],7,0)</f>
        <v>2548000000000</v>
      </c>
      <c r="G84" s="38">
        <f>INDEX(tbl_electricity[],MATCH($D$84,tbl_electricity[ERP identifier],0),MATCH(RP_SICUT!F$12,tbl_electricity[#Headers],0))</f>
        <v>0</v>
      </c>
      <c r="H84" s="1"/>
      <c r="I84" s="5">
        <f>VLOOKUP($D84,tbl_ERP[],7,0)</f>
        <v>2548000000000</v>
      </c>
      <c r="J84" s="38">
        <f>INDEX(tbl_electricity[],MATCH($D$84,tbl_electricity[ERP identifier],0),MATCH(RP_SICUT!I$12,tbl_electricity[#Headers],0))</f>
        <v>0</v>
      </c>
      <c r="K84" s="1"/>
      <c r="L84" s="5">
        <f>VLOOKUP($D84,tbl_ERP[],7,0)</f>
        <v>2548000000000</v>
      </c>
      <c r="M84" s="38">
        <f>INDEX(tbl_electricity[],MATCH($D$84,tbl_electricity[ERP identifier],0),MATCH(RP_SICUT!L$12,tbl_electricity[#Headers],0))</f>
        <v>0</v>
      </c>
      <c r="N84" s="1"/>
      <c r="O84" s="5">
        <f>VLOOKUP($D84,tbl_ERP[],7,0)</f>
        <v>2548000000000</v>
      </c>
      <c r="P84" s="38">
        <f>INDEX(tbl_electricity[],MATCH($D$84,tbl_electricity[ERP identifier],0),MATCH(RP_SICUT!O$12,tbl_electricity[#Headers],0))</f>
        <v>0</v>
      </c>
      <c r="Q84" s="1"/>
      <c r="R84" s="5">
        <f>VLOOKUP($D84,tbl_ERP[],7,0)</f>
        <v>2548000000000</v>
      </c>
      <c r="S84" s="38">
        <f>INDEX(tbl_electricity[],MATCH($D$84,tbl_electricity[ERP identifier],0),MATCH(RP_SICUT!R$12,tbl_electricity[#Headers],0))</f>
        <v>0</v>
      </c>
      <c r="T84" s="1"/>
    </row>
    <row r="85" spans="1:20" x14ac:dyDescent="0.55000000000000004">
      <c r="A85" s="88"/>
      <c r="B85" s="25"/>
      <c r="D85" s="1" t="s">
        <v>116</v>
      </c>
      <c r="E85" s="46" t="s">
        <v>48</v>
      </c>
      <c r="F85" s="5">
        <f>VLOOKUP($D85,tbl_ERP[],7,0)</f>
        <v>1120000000000</v>
      </c>
      <c r="G85" s="38">
        <f>INDEX(tbl_electricity[],MATCH($D$85,tbl_electricity[ERP identifier],0),MATCH(RP_SICUT!F$12,tbl_electricity[#Headers],0))</f>
        <v>0.02</v>
      </c>
      <c r="I85" s="5">
        <f>VLOOKUP($D85,tbl_ERP[],7,0)</f>
        <v>1120000000000</v>
      </c>
      <c r="J85" s="38">
        <f>INDEX(tbl_electricity[],MATCH($D$85,tbl_electricity[ERP identifier],0),MATCH(RP_SICUT!I$12,tbl_electricity[#Headers],0))</f>
        <v>0.02</v>
      </c>
      <c r="L85" s="5">
        <f>VLOOKUP($D85,tbl_ERP[],7,0)</f>
        <v>1120000000000</v>
      </c>
      <c r="M85" s="38">
        <f>INDEX(tbl_electricity[],MATCH($D$85,tbl_electricity[ERP identifier],0),MATCH(RP_SICUT!L$12,tbl_electricity[#Headers],0))</f>
        <v>0.02</v>
      </c>
      <c r="O85" s="5">
        <f>VLOOKUP($D85,tbl_ERP[],7,0)</f>
        <v>1120000000000</v>
      </c>
      <c r="P85" s="38">
        <f>INDEX(tbl_electricity[],MATCH($D$85,tbl_electricity[ERP identifier],0),MATCH(RP_SICUT!O$12,tbl_electricity[#Headers],0))</f>
        <v>0.02</v>
      </c>
      <c r="R85" s="5">
        <f>VLOOKUP($D85,tbl_ERP[],7,0)</f>
        <v>1120000000000</v>
      </c>
      <c r="S85" s="38">
        <f>INDEX(tbl_electricity[],MATCH($D$85,tbl_electricity[ERP identifier],0),MATCH(RP_SICUT!R$12,tbl_electricity[#Headers],0))</f>
        <v>0.02</v>
      </c>
    </row>
    <row r="86" spans="1:20" x14ac:dyDescent="0.55000000000000004">
      <c r="A86" s="88"/>
      <c r="B86" s="25"/>
      <c r="D86" s="1" t="s">
        <v>117</v>
      </c>
      <c r="E86" s="46" t="s">
        <v>48</v>
      </c>
      <c r="F86" s="5">
        <f>VLOOKUP($D86,tbl_ERP[],7,0)</f>
        <v>3669000000000</v>
      </c>
      <c r="G86" s="38">
        <f>INDEX(tbl_electricity[],MATCH($D$86,tbl_electricity[ERP identifier],0),MATCH(RP_SICUT!F$12,tbl_electricity[#Headers],0))</f>
        <v>0.64349999999999996</v>
      </c>
      <c r="I86" s="5">
        <f>VLOOKUP($D86,tbl_ERP[],7,0)</f>
        <v>3669000000000</v>
      </c>
      <c r="J86" s="38">
        <f>INDEX(tbl_electricity[],MATCH($D$86,tbl_electricity[ERP identifier],0),MATCH(RP_SICUT!I$12,tbl_electricity[#Headers],0))</f>
        <v>0.64349999999999996</v>
      </c>
      <c r="L86" s="5">
        <f>VLOOKUP($D86,tbl_ERP[],7,0)</f>
        <v>3669000000000</v>
      </c>
      <c r="M86" s="38">
        <f>INDEX(tbl_electricity[],MATCH($D$86,tbl_electricity[ERP identifier],0),MATCH(RP_SICUT!L$12,tbl_electricity[#Headers],0))</f>
        <v>0.64349999999999996</v>
      </c>
      <c r="O86" s="5">
        <f>VLOOKUP($D86,tbl_ERP[],7,0)</f>
        <v>3669000000000</v>
      </c>
      <c r="P86" s="38">
        <f>INDEX(tbl_electricity[],MATCH($D$86,tbl_electricity[ERP identifier],0),MATCH(RP_SICUT!O$12,tbl_electricity[#Headers],0))</f>
        <v>0.64349999999999996</v>
      </c>
      <c r="R86" s="5">
        <f>VLOOKUP($D86,tbl_ERP[],7,0)</f>
        <v>3669000000000</v>
      </c>
      <c r="S86" s="38">
        <f>INDEX(tbl_electricity[],MATCH($D$86,tbl_electricity[ERP identifier],0),MATCH(RP_SICUT!R$12,tbl_electricity[#Headers],0))</f>
        <v>0.64349999999999996</v>
      </c>
    </row>
    <row r="87" spans="1:20" customFormat="1" x14ac:dyDescent="0.55000000000000004">
      <c r="A87" s="88"/>
      <c r="B87" s="25"/>
      <c r="C87" s="1"/>
      <c r="D87" s="1" t="s">
        <v>280</v>
      </c>
      <c r="E87" s="46" t="s">
        <v>48</v>
      </c>
      <c r="F87" s="5">
        <f>VLOOKUP($D87,tbl_ERP[],7,0)</f>
        <v>20237444305392.715</v>
      </c>
      <c r="G87" s="38">
        <f>INDEX(tbl_electricity[],MATCH($D$87,tbl_electricity[ERP identifier],0),MATCH(RP_SICUT!F$12,tbl_electricity[#Headers],0))</f>
        <v>0</v>
      </c>
      <c r="H87" s="1"/>
      <c r="I87" s="5">
        <f>VLOOKUP($D87,tbl_ERP[],7,0)</f>
        <v>20237444305392.715</v>
      </c>
      <c r="J87" s="38">
        <f>INDEX(tbl_electricity[],MATCH($D$87,tbl_electricity[ERP identifier],0),MATCH(RP_SICUT!I$12,tbl_electricity[#Headers],0))</f>
        <v>0</v>
      </c>
      <c r="K87" s="1"/>
      <c r="L87" s="5">
        <f>VLOOKUP($D87,tbl_ERP[],7,0)</f>
        <v>20237444305392.715</v>
      </c>
      <c r="M87" s="38">
        <f>INDEX(tbl_electricity[],MATCH($D$87,tbl_electricity[ERP identifier],0),MATCH(RP_SICUT!L$12,tbl_electricity[#Headers],0))</f>
        <v>0</v>
      </c>
      <c r="N87" s="1"/>
      <c r="O87" s="5">
        <f>VLOOKUP($D87,tbl_ERP[],7,0)</f>
        <v>20237444305392.715</v>
      </c>
      <c r="P87" s="38">
        <f>INDEX(tbl_electricity[],MATCH($D$87,tbl_electricity[ERP identifier],0),MATCH(RP_SICUT!O$12,tbl_electricity[#Headers],0))</f>
        <v>0</v>
      </c>
      <c r="Q87" s="1"/>
      <c r="R87" s="5">
        <f>VLOOKUP($D87,tbl_ERP[],7,0)</f>
        <v>20237444305392.715</v>
      </c>
      <c r="S87" s="38">
        <f>INDEX(tbl_electricity[],MATCH($D$87,tbl_electricity[ERP identifier],0),MATCH(RP_SICUT!R$12,tbl_electricity[#Headers],0))</f>
        <v>0</v>
      </c>
      <c r="T87" s="1"/>
    </row>
    <row r="88" spans="1:20" customFormat="1" x14ac:dyDescent="0.55000000000000004">
      <c r="A88" s="88"/>
      <c r="B88" s="25"/>
      <c r="C88" s="1"/>
      <c r="D88" s="1" t="s">
        <v>281</v>
      </c>
      <c r="E88" s="46" t="s">
        <v>48</v>
      </c>
      <c r="F88" s="5">
        <f>VLOOKUP($D88,tbl_ERP[],7,0)</f>
        <v>28108666791292.668</v>
      </c>
      <c r="G88" s="38">
        <f>INDEX(tbl_electricity[],MATCH($D$88,tbl_electricity[ERP identifier],0),MATCH(RP_SICUT!F$12,tbl_electricity[#Headers],0))</f>
        <v>1.8499999999999999E-2</v>
      </c>
      <c r="H88" s="1"/>
      <c r="I88" s="5">
        <f>VLOOKUP($D88,tbl_ERP[],7,0)</f>
        <v>28108666791292.668</v>
      </c>
      <c r="J88" s="38">
        <f>INDEX(tbl_electricity[],MATCH($D$88,tbl_electricity[ERP identifier],0),MATCH(RP_SICUT!I$12,tbl_electricity[#Headers],0))</f>
        <v>1.8499999999999999E-2</v>
      </c>
      <c r="K88" s="1"/>
      <c r="L88" s="5">
        <f>VLOOKUP($D88,tbl_ERP[],7,0)</f>
        <v>28108666791292.668</v>
      </c>
      <c r="M88" s="38">
        <f>INDEX(tbl_electricity[],MATCH($D$88,tbl_electricity[ERP identifier],0),MATCH(RP_SICUT!L$12,tbl_electricity[#Headers],0))</f>
        <v>1.8499999999999999E-2</v>
      </c>
      <c r="N88" s="1"/>
      <c r="O88" s="5">
        <f>VLOOKUP($D88,tbl_ERP[],7,0)</f>
        <v>28108666791292.668</v>
      </c>
      <c r="P88" s="38">
        <f>INDEX(tbl_electricity[],MATCH($D$88,tbl_electricity[ERP identifier],0),MATCH(RP_SICUT!O$12,tbl_electricity[#Headers],0))</f>
        <v>1.8499999999999999E-2</v>
      </c>
      <c r="Q88" s="1"/>
      <c r="R88" s="5">
        <f>VLOOKUP($D88,tbl_ERP[],7,0)</f>
        <v>28108666791292.668</v>
      </c>
      <c r="S88" s="38">
        <f>INDEX(tbl_electricity[],MATCH($D$88,tbl_electricity[ERP identifier],0),MATCH(RP_SICUT!R$12,tbl_electricity[#Headers],0))</f>
        <v>1.8499999999999999E-2</v>
      </c>
      <c r="T88" s="1"/>
    </row>
    <row r="89" spans="1:20" customFormat="1" x14ac:dyDescent="0.55000000000000004">
      <c r="A89" s="88"/>
      <c r="B89" s="25"/>
      <c r="C89" s="1"/>
      <c r="D89" s="1"/>
      <c r="E89" s="4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customFormat="1" x14ac:dyDescent="0.55000000000000004">
      <c r="A90" s="88"/>
      <c r="B90" s="25"/>
      <c r="C90" s="1" t="s">
        <v>65</v>
      </c>
      <c r="D90" s="1" t="s">
        <v>148</v>
      </c>
      <c r="E90" s="46" t="s">
        <v>47</v>
      </c>
      <c r="F90" s="39">
        <f>F$30*INDEX(tbl_material[],MATCH(F$10,tbl_material[material],0),MATCH(RP_SICUT!$D$90,tbl_material[#Headers],0))+F$58*INDEX(tbl_material[],MATCH(F$11,tbl_material[material],0),MATCH(RP_SICUT!$D$90,tbl_material[#Headers],0))</f>
        <v>93.5</v>
      </c>
      <c r="G90" s="1"/>
      <c r="H90" s="1"/>
      <c r="I90" s="39">
        <f>I$30*INDEX(tbl_material[],MATCH(I$10,tbl_material[material],0),MATCH(RP_SICUT!$D$90,tbl_material[#Headers],0))+I$58*INDEX(tbl_material[],MATCH(I$11,tbl_material[material],0),MATCH(RP_SICUT!$D$90,tbl_material[#Headers],0))</f>
        <v>93.5</v>
      </c>
      <c r="J90" s="1"/>
      <c r="K90" s="1"/>
      <c r="L90" s="39">
        <f>L$30*INDEX(tbl_material[],MATCH(L$10,tbl_material[material],0),MATCH(RP_SICUT!$D$90,tbl_material[#Headers],0))+L$58*INDEX(tbl_material[],MATCH(L$11,tbl_material[material],0),MATCH(RP_SICUT!$D$90,tbl_material[#Headers],0))</f>
        <v>93.5</v>
      </c>
      <c r="M90" s="1"/>
      <c r="N90" s="1"/>
      <c r="O90" s="39">
        <f>O$30*INDEX(tbl_material[],MATCH(O$10,tbl_material[material],0),MATCH(RP_SICUT!$D$90,tbl_material[#Headers],0))+O$58*INDEX(tbl_material[],MATCH(O$11,tbl_material[material],0),MATCH(RP_SICUT!$D$90,tbl_material[#Headers],0))</f>
        <v>93.5</v>
      </c>
      <c r="P90" s="1"/>
      <c r="Q90" s="1"/>
      <c r="R90" s="39">
        <f>R$30*INDEX(tbl_material[],MATCH(R$10,tbl_material[material],0),MATCH(RP_SICUT!$D$90,tbl_material[#Headers],0))+R$58*INDEX(tbl_material[],MATCH(R$11,tbl_material[material],0),MATCH(RP_SICUT!$D$90,tbl_material[#Headers],0))</f>
        <v>93.5</v>
      </c>
      <c r="S90" s="1"/>
      <c r="T90" s="1"/>
    </row>
    <row r="91" spans="1:20" customFormat="1" x14ac:dyDescent="0.55000000000000004">
      <c r="A91" s="88"/>
      <c r="B91" s="25"/>
      <c r="C91" s="1" t="s">
        <v>65</v>
      </c>
      <c r="D91" s="1" t="s">
        <v>156</v>
      </c>
      <c r="E91" s="46" t="s">
        <v>47</v>
      </c>
      <c r="F91" s="39">
        <f>G104*(F106+F107)*heat_pump_factor</f>
        <v>0</v>
      </c>
      <c r="G91" s="1"/>
      <c r="H91" s="1"/>
      <c r="I91" s="39">
        <f>J104*(I106+I107)*heat_pump_factor</f>
        <v>0</v>
      </c>
      <c r="J91" s="1"/>
      <c r="K91" s="1"/>
      <c r="L91" s="39">
        <f>M104*(L106+L107)*heat_pump_factor</f>
        <v>0</v>
      </c>
      <c r="M91" s="1"/>
      <c r="N91" s="1"/>
      <c r="O91" s="39">
        <f>P104*(O106+O107)*heat_pump_factor</f>
        <v>0</v>
      </c>
      <c r="P91" s="1"/>
      <c r="Q91" s="1"/>
      <c r="R91" s="39">
        <f>S104*(R106+R107)*heat_pump_factor</f>
        <v>0</v>
      </c>
      <c r="S91" s="1"/>
      <c r="T91" s="1"/>
    </row>
    <row r="92" spans="1:20" customFormat="1" x14ac:dyDescent="0.55000000000000004">
      <c r="A92" s="88"/>
      <c r="B92" s="25"/>
      <c r="C92" s="1" t="s">
        <v>65</v>
      </c>
      <c r="D92" s="1" t="s">
        <v>154</v>
      </c>
      <c r="E92" s="46" t="s">
        <v>47</v>
      </c>
      <c r="F92" s="39">
        <f>F$30*INDEX(tbl_material[],MATCH(F$10,tbl_material[material],0),MATCH(RP_SICUT!$D$92,tbl_material[#Headers],0))+F$58*INDEX(tbl_material[],MATCH(F$11,tbl_material[material],0),MATCH(RP_SICUT!$D$92,tbl_material[#Headers],0))</f>
        <v>93.5</v>
      </c>
      <c r="G92" s="1"/>
      <c r="H92" s="1"/>
      <c r="I92" s="39">
        <f>I$30*INDEX(tbl_material[],MATCH(I$10,tbl_material[material],0),MATCH(RP_SICUT!$D$92,tbl_material[#Headers],0))+I$58*INDEX(tbl_material[],MATCH(I$11,tbl_material[material],0),MATCH(RP_SICUT!$D$92,tbl_material[#Headers],0))</f>
        <v>93.5</v>
      </c>
      <c r="J92" s="1"/>
      <c r="K92" s="1"/>
      <c r="L92" s="39">
        <f>L$30*INDEX(tbl_material[],MATCH(L$10,tbl_material[material],0),MATCH(RP_SICUT!$D$92,tbl_material[#Headers],0))+L$58*INDEX(tbl_material[],MATCH(L$11,tbl_material[material],0),MATCH(RP_SICUT!$D$92,tbl_material[#Headers],0))</f>
        <v>93.5</v>
      </c>
      <c r="M92" s="1"/>
      <c r="N92" s="1"/>
      <c r="O92" s="39">
        <f>O$30*INDEX(tbl_material[],MATCH(O$10,tbl_material[material],0),MATCH(RP_SICUT!$D$92,tbl_material[#Headers],0))+O$58*INDEX(tbl_material[],MATCH(O$11,tbl_material[material],0),MATCH(RP_SICUT!$D$92,tbl_material[#Headers],0))</f>
        <v>93.5</v>
      </c>
      <c r="P92" s="1"/>
      <c r="Q92" s="1"/>
      <c r="R92" s="39">
        <f>R$30*INDEX(tbl_material[],MATCH(R$10,tbl_material[material],0),MATCH(RP_SICUT!$D$92,tbl_material[#Headers],0))+R$58*INDEX(tbl_material[],MATCH(R$11,tbl_material[material],0),MATCH(RP_SICUT!$D$92,tbl_material[#Headers],0))</f>
        <v>93.5</v>
      </c>
      <c r="S92" s="1"/>
      <c r="T92" s="1"/>
    </row>
    <row r="93" spans="1:20" customFormat="1" x14ac:dyDescent="0.55000000000000004">
      <c r="A93" s="88"/>
      <c r="B93" s="1"/>
      <c r="C93" s="1" t="s">
        <v>65</v>
      </c>
      <c r="D93" s="1" t="s">
        <v>106</v>
      </c>
      <c r="E93" s="46" t="s">
        <v>47</v>
      </c>
      <c r="F93" s="26">
        <f>F90+F91+F92</f>
        <v>187</v>
      </c>
      <c r="G93" s="1"/>
      <c r="H93" s="1"/>
      <c r="I93" s="26">
        <f>I90+I91+I92</f>
        <v>187</v>
      </c>
      <c r="J93" s="1"/>
      <c r="K93" s="1"/>
      <c r="L93" s="26">
        <f>L90+L91+L92</f>
        <v>187</v>
      </c>
      <c r="M93" s="1"/>
      <c r="N93" s="1"/>
      <c r="O93" s="26">
        <f>O90+O91+O92</f>
        <v>187</v>
      </c>
      <c r="P93" s="1"/>
      <c r="Q93" s="1"/>
      <c r="R93" s="26">
        <f>R90+R91+R92</f>
        <v>187</v>
      </c>
      <c r="S93" s="1"/>
      <c r="T93" s="1"/>
    </row>
    <row r="94" spans="1:20" customFormat="1" x14ac:dyDescent="0.55000000000000004">
      <c r="A94" s="88"/>
      <c r="B94" s="1"/>
      <c r="C94" s="1"/>
      <c r="D94" s="1"/>
      <c r="E94" s="4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customFormat="1" ht="19.8" x14ac:dyDescent="0.65">
      <c r="A95" s="88"/>
      <c r="B95" s="9" t="s">
        <v>31</v>
      </c>
      <c r="C95" s="3" t="s">
        <v>43</v>
      </c>
      <c r="D95" s="1" t="s">
        <v>41</v>
      </c>
      <c r="E95" s="25" t="s">
        <v>1</v>
      </c>
      <c r="F95" s="6">
        <f>F93/F19*(G78/F78+G79/F79+G80/F80+G81/F81+G82/F82+G83/F83+G84/F84+G85/F85+G86/F86+G87/F87+G88/F88)</f>
        <v>2.4050663359656901E-12</v>
      </c>
      <c r="G95" s="1"/>
      <c r="H95" s="1"/>
      <c r="I95" s="6">
        <f>I93/I19*(J78/I78+J79/I79+J80/I80+J81/I81+J82/I82+J83/I83+J84/I84+J85/I85+J86/I86+J87/I87+J88/I88)</f>
        <v>2.4050663359656901E-12</v>
      </c>
      <c r="J95" s="1"/>
      <c r="K95" s="1"/>
      <c r="L95" s="6">
        <f>L93/L19*(M78/L78+M79/L79+M80/L80+M81/L81+M82/L82+M83/L83+M84/L84+M85/L85+M86/L86+M87/L87+M88/L88)</f>
        <v>1.6033775573104601E-12</v>
      </c>
      <c r="M95" s="1"/>
      <c r="N95" s="1"/>
      <c r="O95" s="6">
        <f>O93/O19*(P78/O78+P79/O79+P80/O80+P81/O81+P82/O82+P83/O83+P84/O84+P85/O85+P86/O86+P87/O87+P88/O88)</f>
        <v>1.2025331679828451E-12</v>
      </c>
      <c r="P95" s="1"/>
      <c r="Q95" s="1"/>
      <c r="R95" s="6">
        <f>R93/R19*(S78/R78+S79/R79+S80/R80+S81/R81+S82/R82+S83/R83+S84/R84+S85/R85+S86/R86+S87/R87+S88/R88)</f>
        <v>1.2025331679828451E-12</v>
      </c>
      <c r="S95" s="1"/>
      <c r="T95" s="1"/>
    </row>
    <row r="96" spans="1:20" customFormat="1" x14ac:dyDescent="0.55000000000000004">
      <c r="A96" s="1"/>
      <c r="B96" s="1"/>
      <c r="C96" s="1"/>
      <c r="D96" s="1"/>
      <c r="E96" s="4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customFormat="1" x14ac:dyDescent="0.55000000000000004">
      <c r="A97" s="1"/>
      <c r="B97" s="1"/>
      <c r="C97" s="1"/>
      <c r="D97" s="1"/>
      <c r="E97" s="4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customFormat="1" ht="14.5" customHeight="1" x14ac:dyDescent="0.55000000000000004">
      <c r="A98" s="89" t="s">
        <v>40</v>
      </c>
      <c r="B98" s="46" t="s">
        <v>49</v>
      </c>
      <c r="C98" s="1" t="s">
        <v>40</v>
      </c>
      <c r="D98" s="1"/>
      <c r="E98" s="46"/>
      <c r="F98" s="1"/>
      <c r="G98" s="1" t="s">
        <v>67</v>
      </c>
      <c r="H98" s="1"/>
      <c r="I98" s="1"/>
      <c r="J98" s="1" t="s">
        <v>67</v>
      </c>
      <c r="K98" s="1"/>
      <c r="L98" s="1"/>
      <c r="M98" s="1" t="s">
        <v>67</v>
      </c>
      <c r="N98" s="1"/>
      <c r="O98" s="1"/>
      <c r="P98" s="1" t="s">
        <v>67</v>
      </c>
      <c r="Q98" s="1"/>
      <c r="R98" s="1"/>
      <c r="S98" s="1" t="s">
        <v>67</v>
      </c>
      <c r="T98" s="1"/>
    </row>
    <row r="99" spans="1:20" x14ac:dyDescent="0.55000000000000004">
      <c r="A99" s="89"/>
      <c r="B99" s="25" t="s">
        <v>10</v>
      </c>
      <c r="C99" s="1" t="s">
        <v>26</v>
      </c>
      <c r="D99" t="s">
        <v>118</v>
      </c>
      <c r="E99" s="46" t="s">
        <v>48</v>
      </c>
      <c r="F99" s="5">
        <f>VLOOKUP($D99,tbl_ERP[],7,0)</f>
        <v>60153880670886.164</v>
      </c>
      <c r="G99" s="39">
        <f>INDEX(tbl_heat[],MATCH($D$99,tbl_heat[ERP identifier],0),MATCH(RP_SICUT!F$13,tbl_heat[#Headers],0))</f>
        <v>0.5</v>
      </c>
      <c r="I99" s="5">
        <f>VLOOKUP($D99,tbl_ERP[],7,0)</f>
        <v>60153880670886.164</v>
      </c>
      <c r="J99" s="39">
        <f>INDEX(tbl_heat[],MATCH($D$99,tbl_heat[ERP identifier],0),MATCH(RP_SICUT!I$13,tbl_heat[#Headers],0))</f>
        <v>0.5</v>
      </c>
      <c r="L99" s="5">
        <f>VLOOKUP($D99,tbl_ERP[],7,0)</f>
        <v>60153880670886.164</v>
      </c>
      <c r="M99" s="39">
        <f>INDEX(tbl_heat[],MATCH($D$99,tbl_heat[ERP identifier],0),MATCH(RP_SICUT!L$13,tbl_heat[#Headers],0))</f>
        <v>0.5</v>
      </c>
      <c r="O99" s="5">
        <f>VLOOKUP($D99,tbl_ERP[],7,0)</f>
        <v>60153880670886.164</v>
      </c>
      <c r="P99" s="39">
        <f>INDEX(tbl_heat[],MATCH($D$99,tbl_heat[ERP identifier],0),MATCH(RP_SICUT!O$13,tbl_heat[#Headers],0))</f>
        <v>0.5</v>
      </c>
      <c r="R99" s="5">
        <f>VLOOKUP($D99,tbl_ERP[],7,0)</f>
        <v>60153880670886.164</v>
      </c>
      <c r="S99" s="39">
        <f>INDEX(tbl_heat[],MATCH($D$99,tbl_heat[ERP identifier],0),MATCH(RP_SICUT!R$13,tbl_heat[#Headers],0))</f>
        <v>0.5</v>
      </c>
    </row>
    <row r="100" spans="1:20" x14ac:dyDescent="0.55000000000000004">
      <c r="A100" s="89"/>
      <c r="B100" s="25"/>
      <c r="D100" t="s">
        <v>282</v>
      </c>
      <c r="E100" s="46" t="s">
        <v>48</v>
      </c>
      <c r="F100" s="5">
        <f>VLOOKUP($D100,tbl_ERP[],7,0)</f>
        <v>35511568623903.633</v>
      </c>
      <c r="G100" s="39">
        <f>INDEX(tbl_heat[],MATCH($D$100,tbl_heat[ERP identifier],0),MATCH(RP_SICUT!F$13,tbl_heat[#Headers],0))</f>
        <v>0</v>
      </c>
      <c r="I100" s="5">
        <f>VLOOKUP($D100,tbl_ERP[],7,0)</f>
        <v>35511568623903.633</v>
      </c>
      <c r="J100" s="39">
        <f>INDEX(tbl_heat[],MATCH($D$100,tbl_heat[ERP identifier],0),MATCH(RP_SICUT!I$13,tbl_heat[#Headers],0))</f>
        <v>0</v>
      </c>
      <c r="L100" s="5">
        <f>VLOOKUP($D100,tbl_ERP[],7,0)</f>
        <v>35511568623903.633</v>
      </c>
      <c r="M100" s="39">
        <f>INDEX(tbl_heat[],MATCH($D$100,tbl_heat[ERP identifier],0),MATCH(RP_SICUT!L$13,tbl_heat[#Headers],0))</f>
        <v>0</v>
      </c>
      <c r="O100" s="5">
        <f>VLOOKUP($D100,tbl_ERP[],7,0)</f>
        <v>35511568623903.633</v>
      </c>
      <c r="P100" s="39">
        <f>INDEX(tbl_heat[],MATCH($D$100,tbl_heat[ERP identifier],0),MATCH(RP_SICUT!O$13,tbl_heat[#Headers],0))</f>
        <v>0</v>
      </c>
      <c r="R100" s="5">
        <f>VLOOKUP($D100,tbl_ERP[],7,0)</f>
        <v>35511568623903.633</v>
      </c>
      <c r="S100" s="39">
        <f>INDEX(tbl_heat[],MATCH($D$100,tbl_heat[ERP identifier],0),MATCH(RP_SICUT!R$13,tbl_heat[#Headers],0))</f>
        <v>0</v>
      </c>
    </row>
    <row r="101" spans="1:20" customFormat="1" ht="14.5" customHeight="1" x14ac:dyDescent="0.55000000000000004">
      <c r="A101" s="89"/>
      <c r="B101" s="25"/>
      <c r="C101" s="1"/>
      <c r="D101" t="s">
        <v>151</v>
      </c>
      <c r="E101" s="46" t="s">
        <v>48</v>
      </c>
      <c r="F101" s="5">
        <f>VLOOKUP($D101,tbl_ERP[],7,0)</f>
        <v>33059022119967.516</v>
      </c>
      <c r="G101" s="39">
        <f>INDEX(tbl_heat[],MATCH($D$101,tbl_heat[ERP identifier],0),MATCH(RP_SICUT!F$13,tbl_heat[#Headers],0))</f>
        <v>0.5</v>
      </c>
      <c r="H101" s="1"/>
      <c r="I101" s="5">
        <f>VLOOKUP($D101,tbl_ERP[],7,0)</f>
        <v>33059022119967.516</v>
      </c>
      <c r="J101" s="39">
        <f>INDEX(tbl_heat[],MATCH($D$101,tbl_heat[ERP identifier],0),MATCH(RP_SICUT!I$13,tbl_heat[#Headers],0))</f>
        <v>0.5</v>
      </c>
      <c r="K101" s="1"/>
      <c r="L101" s="5">
        <f>VLOOKUP($D101,tbl_ERP[],7,0)</f>
        <v>33059022119967.516</v>
      </c>
      <c r="M101" s="39">
        <f>INDEX(tbl_heat[],MATCH($D$101,tbl_heat[ERP identifier],0),MATCH(RP_SICUT!L$13,tbl_heat[#Headers],0))</f>
        <v>0.5</v>
      </c>
      <c r="N101" s="1"/>
      <c r="O101" s="5">
        <f>VLOOKUP($D101,tbl_ERP[],7,0)</f>
        <v>33059022119967.516</v>
      </c>
      <c r="P101" s="39">
        <f>INDEX(tbl_heat[],MATCH($D$101,tbl_heat[ERP identifier],0),MATCH(RP_SICUT!O$13,tbl_heat[#Headers],0))</f>
        <v>0.5</v>
      </c>
      <c r="Q101" s="1"/>
      <c r="R101" s="5">
        <f>VLOOKUP($D101,tbl_ERP[],7,0)</f>
        <v>33059022119967.516</v>
      </c>
      <c r="S101" s="39">
        <f>INDEX(tbl_heat[],MATCH($D$101,tbl_heat[ERP identifier],0),MATCH(RP_SICUT!R$13,tbl_heat[#Headers],0))</f>
        <v>0.5</v>
      </c>
      <c r="T101" s="1"/>
    </row>
    <row r="102" spans="1:20" customFormat="1" x14ac:dyDescent="0.55000000000000004">
      <c r="A102" s="89"/>
      <c r="B102" s="25"/>
      <c r="C102" s="1"/>
      <c r="D102" t="s">
        <v>120</v>
      </c>
      <c r="E102" s="46" t="s">
        <v>48</v>
      </c>
      <c r="F102" s="5">
        <f>VLOOKUP($D102,tbl_ERP[],7,0)</f>
        <v>4480000000000</v>
      </c>
      <c r="G102" s="39">
        <f>INDEX(tbl_heat[],MATCH($D$102,tbl_heat[ERP identifier],0),MATCH(RP_SICUT!F$13,tbl_heat[#Headers],0))</f>
        <v>0</v>
      </c>
      <c r="H102" s="1"/>
      <c r="I102" s="5">
        <f>VLOOKUP($D102,tbl_ERP[],7,0)</f>
        <v>4480000000000</v>
      </c>
      <c r="J102" s="39">
        <f>INDEX(tbl_heat[],MATCH($D$102,tbl_heat[ERP identifier],0),MATCH(RP_SICUT!I$13,tbl_heat[#Headers],0))</f>
        <v>0</v>
      </c>
      <c r="K102" s="1"/>
      <c r="L102" s="5">
        <f>VLOOKUP($D102,tbl_ERP[],7,0)</f>
        <v>4480000000000</v>
      </c>
      <c r="M102" s="39">
        <f>INDEX(tbl_heat[],MATCH($D$102,tbl_heat[ERP identifier],0),MATCH(RP_SICUT!L$13,tbl_heat[#Headers],0))</f>
        <v>0</v>
      </c>
      <c r="N102" s="1"/>
      <c r="O102" s="5">
        <f>VLOOKUP($D102,tbl_ERP[],7,0)</f>
        <v>4480000000000</v>
      </c>
      <c r="P102" s="39">
        <f>INDEX(tbl_heat[],MATCH($D$102,tbl_heat[ERP identifier],0),MATCH(RP_SICUT!O$13,tbl_heat[#Headers],0))</f>
        <v>0</v>
      </c>
      <c r="Q102" s="1"/>
      <c r="R102" s="5">
        <f>VLOOKUP($D102,tbl_ERP[],7,0)</f>
        <v>4480000000000</v>
      </c>
      <c r="S102" s="39">
        <f>INDEX(tbl_heat[],MATCH($D$102,tbl_heat[ERP identifier],0),MATCH(RP_SICUT!R$13,tbl_heat[#Headers],0))</f>
        <v>0</v>
      </c>
      <c r="T102" s="1"/>
    </row>
    <row r="103" spans="1:20" customFormat="1" x14ac:dyDescent="0.55000000000000004">
      <c r="A103" s="89"/>
      <c r="B103" s="25"/>
      <c r="C103" s="1"/>
      <c r="D103" t="s">
        <v>119</v>
      </c>
      <c r="E103" s="46" t="s">
        <v>48</v>
      </c>
      <c r="F103" s="5">
        <f>VLOOKUP($D103,tbl_ERP[],7,0)</f>
        <v>838095238095238.13</v>
      </c>
      <c r="G103" s="39">
        <f>INDEX(tbl_heat[],MATCH($D$103,tbl_heat[ERP identifier],0),MATCH(RP_SICUT!F$13,tbl_heat[#Headers],0))</f>
        <v>0</v>
      </c>
      <c r="H103" s="1"/>
      <c r="I103" s="5">
        <f>VLOOKUP($D103,tbl_ERP[],7,0)</f>
        <v>838095238095238.13</v>
      </c>
      <c r="J103" s="39">
        <f>INDEX(tbl_heat[],MATCH($D$103,tbl_heat[ERP identifier],0),MATCH(RP_SICUT!I$13,tbl_heat[#Headers],0))</f>
        <v>0</v>
      </c>
      <c r="K103" s="1"/>
      <c r="L103" s="5">
        <f>VLOOKUP($D103,tbl_ERP[],7,0)</f>
        <v>838095238095238.13</v>
      </c>
      <c r="M103" s="39">
        <f>INDEX(tbl_heat[],MATCH($D$103,tbl_heat[ERP identifier],0),MATCH(RP_SICUT!L$13,tbl_heat[#Headers],0))</f>
        <v>0</v>
      </c>
      <c r="N103" s="1"/>
      <c r="O103" s="5">
        <f>VLOOKUP($D103,tbl_ERP[],7,0)</f>
        <v>838095238095238.13</v>
      </c>
      <c r="P103" s="39">
        <f>INDEX(tbl_heat[],MATCH($D$103,tbl_heat[ERP identifier],0),MATCH(RP_SICUT!O$13,tbl_heat[#Headers],0))</f>
        <v>0</v>
      </c>
      <c r="Q103" s="1"/>
      <c r="R103" s="5">
        <f>VLOOKUP($D103,tbl_ERP[],7,0)</f>
        <v>838095238095238.13</v>
      </c>
      <c r="S103" s="39">
        <f>INDEX(tbl_heat[],MATCH($D$103,tbl_heat[ERP identifier],0),MATCH(RP_SICUT!R$13,tbl_heat[#Headers],0))</f>
        <v>0</v>
      </c>
      <c r="T103" s="1"/>
    </row>
    <row r="104" spans="1:20" customFormat="1" x14ac:dyDescent="0.55000000000000004">
      <c r="A104" s="89"/>
      <c r="B104" s="25"/>
      <c r="C104" s="1"/>
      <c r="D104" t="s">
        <v>153</v>
      </c>
      <c r="E104" s="46"/>
      <c r="F104" s="5"/>
      <c r="G104" s="39">
        <f>INDEX(tbl_heat[],MATCH($D$104,tbl_heat[ERP identifier],0),MATCH(RP_SICUT!F$13,tbl_heat[#Headers],0))</f>
        <v>0</v>
      </c>
      <c r="H104" s="1"/>
      <c r="I104" s="5"/>
      <c r="J104" s="39">
        <f>INDEX(tbl_heat[],MATCH($D$104,tbl_heat[ERP identifier],0),MATCH(RP_SICUT!I$13,tbl_heat[#Headers],0))</f>
        <v>0</v>
      </c>
      <c r="K104" s="1"/>
      <c r="L104" s="5"/>
      <c r="M104" s="39">
        <f>INDEX(tbl_heat[],MATCH($D$104,tbl_heat[ERP identifier],0),MATCH(RP_SICUT!L$13,tbl_heat[#Headers],0))</f>
        <v>0</v>
      </c>
      <c r="N104" s="1"/>
      <c r="O104" s="5"/>
      <c r="P104" s="39">
        <f>INDEX(tbl_heat[],MATCH($D$104,tbl_heat[ERP identifier],0),MATCH(RP_SICUT!O$13,tbl_heat[#Headers],0))</f>
        <v>0</v>
      </c>
      <c r="Q104" s="1"/>
      <c r="R104" s="5"/>
      <c r="S104" s="39">
        <f>INDEX(tbl_heat[],MATCH($D$104,tbl_heat[ERP identifier],0),MATCH(RP_SICUT!R$13,tbl_heat[#Headers],0))</f>
        <v>0</v>
      </c>
      <c r="T104" s="1"/>
    </row>
    <row r="105" spans="1:20" customFormat="1" x14ac:dyDescent="0.55000000000000004">
      <c r="A105" s="89"/>
      <c r="B105" s="25"/>
      <c r="C105" s="1"/>
      <c r="D105" s="1"/>
      <c r="E105" s="4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customFormat="1" x14ac:dyDescent="0.55000000000000004">
      <c r="A106" s="89"/>
      <c r="B106" s="25"/>
      <c r="C106" s="1" t="s">
        <v>64</v>
      </c>
      <c r="D106" s="1" t="s">
        <v>149</v>
      </c>
      <c r="E106" s="46" t="s">
        <v>47</v>
      </c>
      <c r="F106" s="39">
        <f>F$30*INDEX(tbl_material[],MATCH(F$10,tbl_material[material],0),MATCH(RP_SICUT!$D$106,tbl_material[#Headers],0))+F$58*INDEX(tbl_material[],MATCH(F$11,tbl_material[material],0),MATCH(RP_SICUT!$D$106,tbl_material[#Headers],0))</f>
        <v>66</v>
      </c>
      <c r="G106" s="1"/>
      <c r="H106" s="1"/>
      <c r="I106" s="39">
        <f>I$30*INDEX(tbl_material[],MATCH(I$10,tbl_material[material],0),MATCH(RP_SICUT!$D$106,tbl_material[#Headers],0))+I$58*INDEX(tbl_material[],MATCH(I$11,tbl_material[material],0),MATCH(RP_SICUT!$D$106,tbl_material[#Headers],0))</f>
        <v>66</v>
      </c>
      <c r="J106" s="1"/>
      <c r="K106" s="1"/>
      <c r="L106" s="39">
        <f>L$30*INDEX(tbl_material[],MATCH(L$10,tbl_material[material],0),MATCH(RP_SICUT!$D$106,tbl_material[#Headers],0))+L$58*INDEX(tbl_material[],MATCH(L$11,tbl_material[material],0),MATCH(RP_SICUT!$D$106,tbl_material[#Headers],0))</f>
        <v>66</v>
      </c>
      <c r="M106" s="1"/>
      <c r="N106" s="1"/>
      <c r="O106" s="39">
        <f>O$30*INDEX(tbl_material[],MATCH(O$10,tbl_material[material],0),MATCH(RP_SICUT!$D$106,tbl_material[#Headers],0))+O$58*INDEX(tbl_material[],MATCH(O$11,tbl_material[material],0),MATCH(RP_SICUT!$D$106,tbl_material[#Headers],0))</f>
        <v>66</v>
      </c>
      <c r="P106" s="1"/>
      <c r="Q106" s="1"/>
      <c r="R106" s="39">
        <f>R$30*INDEX(tbl_material[],MATCH(R$10,tbl_material[material],0),MATCH(RP_SICUT!$D$106,tbl_material[#Headers],0))+R$58*INDEX(tbl_material[],MATCH(R$11,tbl_material[material],0),MATCH(RP_SICUT!$D$106,tbl_material[#Headers],0))</f>
        <v>66</v>
      </c>
      <c r="S106" s="1"/>
      <c r="T106" s="1"/>
    </row>
    <row r="107" spans="1:20" customFormat="1" x14ac:dyDescent="0.55000000000000004">
      <c r="A107" s="89"/>
      <c r="B107" s="25"/>
      <c r="C107" s="1" t="s">
        <v>64</v>
      </c>
      <c r="D107" s="1" t="s">
        <v>155</v>
      </c>
      <c r="E107" s="46" t="s">
        <v>47</v>
      </c>
      <c r="F107" s="39">
        <f>F$30*INDEX(tbl_material[],MATCH(F$10,tbl_material[material],0),MATCH(RP_SICUT!$D$107,tbl_material[#Headers],0))+F$58*INDEX(tbl_material[],MATCH(F$11,tbl_material[material],0),MATCH(RP_SICUT!$D$107,tbl_material[#Headers],0))</f>
        <v>66</v>
      </c>
      <c r="G107" s="1"/>
      <c r="H107" s="1"/>
      <c r="I107" s="39">
        <f>I$30*INDEX(tbl_material[],MATCH(I$10,tbl_material[material],0),MATCH(RP_SICUT!$D$107,tbl_material[#Headers],0))+I$58*INDEX(tbl_material[],MATCH(I$11,tbl_material[material],0),MATCH(RP_SICUT!$D$107,tbl_material[#Headers],0))</f>
        <v>66</v>
      </c>
      <c r="J107" s="1"/>
      <c r="K107" s="1"/>
      <c r="L107" s="39">
        <f>L$30*INDEX(tbl_material[],MATCH(L$10,tbl_material[material],0),MATCH(RP_SICUT!$D$107,tbl_material[#Headers],0))+L$58*INDEX(tbl_material[],MATCH(L$11,tbl_material[material],0),MATCH(RP_SICUT!$D$107,tbl_material[#Headers],0))</f>
        <v>66</v>
      </c>
      <c r="M107" s="1"/>
      <c r="N107" s="1"/>
      <c r="O107" s="39">
        <f>O$30*INDEX(tbl_material[],MATCH(O$10,tbl_material[material],0),MATCH(RP_SICUT!$D$107,tbl_material[#Headers],0))+O$58*INDEX(tbl_material[],MATCH(O$11,tbl_material[material],0),MATCH(RP_SICUT!$D$107,tbl_material[#Headers],0))</f>
        <v>66</v>
      </c>
      <c r="P107" s="1"/>
      <c r="Q107" s="1"/>
      <c r="R107" s="39">
        <f>R$30*INDEX(tbl_material[],MATCH(R$10,tbl_material[material],0),MATCH(RP_SICUT!$D$107,tbl_material[#Headers],0))+R$58*INDEX(tbl_material[],MATCH(R$11,tbl_material[material],0),MATCH(RP_SICUT!$D$107,tbl_material[#Headers],0))</f>
        <v>66</v>
      </c>
      <c r="S107" s="1"/>
      <c r="T107" s="1"/>
    </row>
    <row r="108" spans="1:20" customFormat="1" x14ac:dyDescent="0.55000000000000004">
      <c r="A108" s="89"/>
      <c r="B108" s="1"/>
      <c r="C108" s="1" t="s">
        <v>64</v>
      </c>
      <c r="D108" s="1" t="s">
        <v>158</v>
      </c>
      <c r="E108" s="46" t="s">
        <v>47</v>
      </c>
      <c r="F108" s="26">
        <f>IF(G104=0,F106+F107,F106+F107-G104*(F106+F107))</f>
        <v>132</v>
      </c>
      <c r="G108" s="1"/>
      <c r="H108" s="1"/>
      <c r="I108" s="26">
        <f>IF(J104=0,I106+I107,I106+I107-J104*(I106+I107))</f>
        <v>132</v>
      </c>
      <c r="J108" s="1"/>
      <c r="K108" s="1"/>
      <c r="L108" s="26">
        <f>IF(M104=0,L106+L107,L106+L107-M104*(L106+L107))</f>
        <v>132</v>
      </c>
      <c r="M108" s="1"/>
      <c r="N108" s="1"/>
      <c r="O108" s="26">
        <f>IF(P104=0,O106+O107,O106+O107-P104*(O106+O107))</f>
        <v>132</v>
      </c>
      <c r="P108" s="1"/>
      <c r="Q108" s="1"/>
      <c r="R108" s="26">
        <f>IF(S104=0,R106+R107,R106+R107-S104*(R106+R107))</f>
        <v>132</v>
      </c>
      <c r="S108" s="1"/>
      <c r="T108" s="1"/>
    </row>
    <row r="109" spans="1:20" customFormat="1" x14ac:dyDescent="0.55000000000000004">
      <c r="A109" s="89"/>
      <c r="B109" s="1"/>
      <c r="C109" s="1"/>
      <c r="D109" s="1"/>
      <c r="E109" s="4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customFormat="1" ht="19.8" x14ac:dyDescent="0.65">
      <c r="A110" s="89"/>
      <c r="B110" s="9" t="s">
        <v>31</v>
      </c>
      <c r="C110" s="3" t="s">
        <v>43</v>
      </c>
      <c r="D110" s="1" t="s">
        <v>159</v>
      </c>
      <c r="E110" s="25" t="s">
        <v>1</v>
      </c>
      <c r="F110" s="6">
        <f>F108/F19*((G99/SUM(G99:G103)/F99+(G100/SUM(G99:G103))/F100+(G101/SUM(G99:G103))/F101+(G102/SUM(G99:G103))/F102+(G103/SUM(G99:G103))/F103))</f>
        <v>1.546807679700722E-13</v>
      </c>
      <c r="G110" s="1"/>
      <c r="H110" s="1"/>
      <c r="I110" s="6">
        <f>I108/I19*((J99/SUM(J99:J103)/I99+(J100/SUM(J99:J103))/I100+(J101/SUM(J99:J103))/I101+(J102/SUM(J99:J103))/I102+(J103/SUM(J99:J103))/I103))</f>
        <v>1.546807679700722E-13</v>
      </c>
      <c r="J110" s="1"/>
      <c r="K110" s="1"/>
      <c r="L110" s="6">
        <f>L108/L19*((M99/SUM(M99:M103)/L99+(M100/SUM(M99:M103))/L100+(M101/SUM(M99:M103))/L101+(M102/SUM(M99:M103))/L102+(M103/SUM(M99:M103))/L103))</f>
        <v>1.0312051198004816E-13</v>
      </c>
      <c r="M110" s="1"/>
      <c r="N110" s="1"/>
      <c r="O110" s="6">
        <f>O108/O19*((P99/SUM(P99:P103)/O99+(P100/SUM(P99:P103))/O100+(P101/SUM(P99:P103))/O101+(P102/SUM(P99:P103))/O102+(P103/SUM(P99:P103))/O103))</f>
        <v>7.7340383985036099E-14</v>
      </c>
      <c r="P110" s="1"/>
      <c r="Q110" s="1"/>
      <c r="R110" s="6">
        <f>R108/R19*((S99/SUM(S99:S103)/R99+(S100/SUM(S99:S103))/R100+(S101/SUM(S99:S103))/R101+(S102/SUM(S99:S103))/R102+(S103/SUM(S99:S103))/R103))</f>
        <v>7.7340383985036099E-14</v>
      </c>
      <c r="S110" s="1"/>
      <c r="T110" s="1"/>
    </row>
    <row r="111" spans="1:20" customFormat="1" ht="14.5" customHeight="1" x14ac:dyDescent="0.55000000000000004">
      <c r="A111" s="1"/>
      <c r="B111" s="1"/>
      <c r="C111" s="1"/>
      <c r="D111" s="1"/>
      <c r="E111" s="4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3" spans="1:19" x14ac:dyDescent="0.55000000000000004">
      <c r="A113" s="90" t="s">
        <v>160</v>
      </c>
      <c r="B113" s="46" t="s">
        <v>107</v>
      </c>
      <c r="C113" s="1" t="s">
        <v>42</v>
      </c>
      <c r="G113" s="1" t="s">
        <v>67</v>
      </c>
      <c r="J113" s="1" t="s">
        <v>67</v>
      </c>
      <c r="M113" s="1" t="s">
        <v>67</v>
      </c>
      <c r="P113" s="1" t="s">
        <v>67</v>
      </c>
      <c r="S113" s="1" t="s">
        <v>67</v>
      </c>
    </row>
    <row r="114" spans="1:19" x14ac:dyDescent="0.55000000000000004">
      <c r="A114" s="90"/>
      <c r="B114" s="25" t="s">
        <v>10</v>
      </c>
      <c r="C114" s="1" t="s">
        <v>26</v>
      </c>
      <c r="D114" t="s">
        <v>121</v>
      </c>
      <c r="E114" s="46" t="s">
        <v>104</v>
      </c>
      <c r="F114" s="5">
        <f>VLOOKUP($D114,tbl_ERP[],7,0)</f>
        <v>18325079790826.645</v>
      </c>
      <c r="G114" s="39">
        <f>INDEX(tbl_transport[],MATCH($D$114,tbl_transport[ERP identifier],0),MATCH(RP_SICUT!F$14,tbl_transport[#Headers],0))</f>
        <v>0.2</v>
      </c>
      <c r="I114" s="5">
        <f>VLOOKUP($D114,tbl_ERP[],7,0)</f>
        <v>18325079790826.645</v>
      </c>
      <c r="J114" s="39">
        <f>INDEX(tbl_transport[],MATCH($D$114,tbl_transport[ERP identifier],0),MATCH(RP_SICUT!I$14,tbl_transport[#Headers],0))</f>
        <v>0.2</v>
      </c>
      <c r="L114" s="5">
        <f>VLOOKUP($D114,tbl_ERP[],7,0)</f>
        <v>18325079790826.645</v>
      </c>
      <c r="M114" s="39">
        <f>INDEX(tbl_transport[],MATCH($D$114,tbl_transport[ERP identifier],0),MATCH(RP_SICUT!L$14,tbl_transport[#Headers],0))</f>
        <v>0.2</v>
      </c>
      <c r="O114" s="5">
        <f>VLOOKUP($D114,tbl_ERP[],7,0)</f>
        <v>18325079790826.645</v>
      </c>
      <c r="P114" s="39">
        <f>INDEX(tbl_transport[],MATCH($D$114,tbl_transport[ERP identifier],0),MATCH(RP_SICUT!O$14,tbl_transport[#Headers],0))</f>
        <v>0.2</v>
      </c>
      <c r="R114" s="5">
        <f>VLOOKUP($D114,tbl_ERP[],7,0)</f>
        <v>18325079790826.645</v>
      </c>
      <c r="S114" s="39">
        <f>INDEX(tbl_transport[],MATCH($D$114,tbl_transport[ERP identifier],0),MATCH(RP_SICUT!R$14,tbl_transport[#Headers],0))</f>
        <v>0.2</v>
      </c>
    </row>
    <row r="115" spans="1:19" x14ac:dyDescent="0.55000000000000004">
      <c r="A115" s="90"/>
      <c r="B115" s="25"/>
      <c r="D115" t="s">
        <v>122</v>
      </c>
      <c r="E115" s="46" t="s">
        <v>104</v>
      </c>
      <c r="F115" s="5">
        <f>VLOOKUP($D115,tbl_ERP[],7,0)</f>
        <v>69650235049065.984</v>
      </c>
      <c r="G115" s="39">
        <f>INDEX(tbl_transport[],MATCH($D$115,tbl_transport[ERP identifier],0),MATCH(RP_SICUT!F$14,tbl_transport[#Headers],0))</f>
        <v>0.8</v>
      </c>
      <c r="I115" s="5">
        <f>VLOOKUP($D115,tbl_ERP[],7,0)</f>
        <v>69650235049065.984</v>
      </c>
      <c r="J115" s="39">
        <f>INDEX(tbl_transport[],MATCH($D$115,tbl_transport[ERP identifier],0),MATCH(RP_SICUT!I$14,tbl_transport[#Headers],0))</f>
        <v>0.8</v>
      </c>
      <c r="L115" s="5">
        <f>VLOOKUP($D115,tbl_ERP[],7,0)</f>
        <v>69650235049065.984</v>
      </c>
      <c r="M115" s="39">
        <f>INDEX(tbl_transport[],MATCH($D$115,tbl_transport[ERP identifier],0),MATCH(RP_SICUT!L$14,tbl_transport[#Headers],0))</f>
        <v>0.8</v>
      </c>
      <c r="O115" s="5">
        <f>VLOOKUP($D115,tbl_ERP[],7,0)</f>
        <v>69650235049065.984</v>
      </c>
      <c r="P115" s="39">
        <f>INDEX(tbl_transport[],MATCH($D$115,tbl_transport[ERP identifier],0),MATCH(RP_SICUT!O$14,tbl_transport[#Headers],0))</f>
        <v>0.8</v>
      </c>
      <c r="R115" s="5">
        <f>VLOOKUP($D115,tbl_ERP[],7,0)</f>
        <v>69650235049065.984</v>
      </c>
      <c r="S115" s="39">
        <f>INDEX(tbl_transport[],MATCH($D$115,tbl_transport[ERP identifier],0),MATCH(RP_SICUT!R$14,tbl_transport[#Headers],0))</f>
        <v>0.8</v>
      </c>
    </row>
    <row r="116" spans="1:19" x14ac:dyDescent="0.55000000000000004">
      <c r="A116" s="90"/>
      <c r="B116" s="25"/>
      <c r="D116" t="s">
        <v>123</v>
      </c>
      <c r="E116" s="46" t="s">
        <v>104</v>
      </c>
      <c r="F116" s="5">
        <f>VLOOKUP($D116,tbl_ERP[],7,0)</f>
        <v>3442565475385.4912</v>
      </c>
      <c r="G116" s="39">
        <f>INDEX(tbl_transport[],MATCH($D$116,tbl_transport[ERP identifier],0),MATCH(RP_SICUT!F$14,tbl_transport[#Headers],0))</f>
        <v>0</v>
      </c>
      <c r="I116" s="5">
        <f>VLOOKUP($D116,tbl_ERP[],7,0)</f>
        <v>3442565475385.4912</v>
      </c>
      <c r="J116" s="39">
        <f>INDEX(tbl_transport[],MATCH($D$116,tbl_transport[ERP identifier],0),MATCH(RP_SICUT!I$14,tbl_transport[#Headers],0))</f>
        <v>0</v>
      </c>
      <c r="L116" s="5">
        <f>VLOOKUP($D116,tbl_ERP[],7,0)</f>
        <v>3442565475385.4912</v>
      </c>
      <c r="M116" s="39">
        <f>INDEX(tbl_transport[],MATCH($D$116,tbl_transport[ERP identifier],0),MATCH(RP_SICUT!L$14,tbl_transport[#Headers],0))</f>
        <v>0</v>
      </c>
      <c r="O116" s="5">
        <f>VLOOKUP($D116,tbl_ERP[],7,0)</f>
        <v>3442565475385.4912</v>
      </c>
      <c r="P116" s="39">
        <f>INDEX(tbl_transport[],MATCH($D$116,tbl_transport[ERP identifier],0),MATCH(RP_SICUT!O$14,tbl_transport[#Headers],0))</f>
        <v>0</v>
      </c>
      <c r="R116" s="5">
        <f>VLOOKUP($D116,tbl_ERP[],7,0)</f>
        <v>3442565475385.4912</v>
      </c>
      <c r="S116" s="39">
        <f>INDEX(tbl_transport[],MATCH($D$116,tbl_transport[ERP identifier],0),MATCH(RP_SICUT!R$14,tbl_transport[#Headers],0))</f>
        <v>0</v>
      </c>
    </row>
    <row r="117" spans="1:19" x14ac:dyDescent="0.55000000000000004">
      <c r="A117" s="90"/>
      <c r="B117" s="25"/>
      <c r="D117" t="s">
        <v>124</v>
      </c>
      <c r="E117" s="46" t="s">
        <v>104</v>
      </c>
      <c r="F117" s="5">
        <f>VLOOKUP($D117,tbl_ERP[],7,0)</f>
        <v>90703359848000.953</v>
      </c>
      <c r="G117" s="39">
        <f>INDEX(tbl_transport[],MATCH($D$117,tbl_transport[ERP identifier],0),MATCH(RP_SICUT!F$14,tbl_transport[#Headers],0))</f>
        <v>0</v>
      </c>
      <c r="I117" s="5">
        <f>VLOOKUP($D117,tbl_ERP[],7,0)</f>
        <v>90703359848000.953</v>
      </c>
      <c r="J117" s="39">
        <f>INDEX(tbl_transport[],MATCH($D$117,tbl_transport[ERP identifier],0),MATCH(RP_SICUT!I$14,tbl_transport[#Headers],0))</f>
        <v>0</v>
      </c>
      <c r="L117" s="5">
        <f>VLOOKUP($D117,tbl_ERP[],7,0)</f>
        <v>90703359848000.953</v>
      </c>
      <c r="M117" s="39">
        <f>INDEX(tbl_transport[],MATCH($D$117,tbl_transport[ERP identifier],0),MATCH(RP_SICUT!L$14,tbl_transport[#Headers],0))</f>
        <v>0</v>
      </c>
      <c r="O117" s="5">
        <f>VLOOKUP($D117,tbl_ERP[],7,0)</f>
        <v>90703359848000.953</v>
      </c>
      <c r="P117" s="39">
        <f>INDEX(tbl_transport[],MATCH($D$117,tbl_transport[ERP identifier],0),MATCH(RP_SICUT!O$14,tbl_transport[#Headers],0))</f>
        <v>0</v>
      </c>
      <c r="R117" s="5">
        <f>VLOOKUP($D117,tbl_ERP[],7,0)</f>
        <v>90703359848000.953</v>
      </c>
      <c r="S117" s="39">
        <f>INDEX(tbl_transport[],MATCH($D$117,tbl_transport[ERP identifier],0),MATCH(RP_SICUT!R$14,tbl_transport[#Headers],0))</f>
        <v>0</v>
      </c>
    </row>
    <row r="118" spans="1:19" x14ac:dyDescent="0.55000000000000004">
      <c r="A118" s="90"/>
      <c r="B118" s="25"/>
      <c r="D118" t="s">
        <v>125</v>
      </c>
      <c r="E118" s="46" t="s">
        <v>104</v>
      </c>
      <c r="F118" s="5">
        <f>VLOOKUP($D118,tbl_ERP[],7,0)</f>
        <v>961118746103.06384</v>
      </c>
      <c r="G118" s="39">
        <f>INDEX(tbl_transport[],MATCH($D$118,tbl_transport[ERP identifier],0),MATCH(RP_SICUT!F$14,tbl_transport[#Headers],0))</f>
        <v>0</v>
      </c>
      <c r="I118" s="5">
        <f>VLOOKUP($D118,tbl_ERP[],7,0)</f>
        <v>961118746103.06384</v>
      </c>
      <c r="J118" s="39">
        <f>INDEX(tbl_transport[],MATCH($D$118,tbl_transport[ERP identifier],0),MATCH(RP_SICUT!I$14,tbl_transport[#Headers],0))</f>
        <v>0</v>
      </c>
      <c r="L118" s="5">
        <f>VLOOKUP($D118,tbl_ERP[],7,0)</f>
        <v>961118746103.06384</v>
      </c>
      <c r="M118" s="39">
        <f>INDEX(tbl_transport[],MATCH($D$118,tbl_transport[ERP identifier],0),MATCH(RP_SICUT!L$14,tbl_transport[#Headers],0))</f>
        <v>0</v>
      </c>
      <c r="O118" s="5">
        <f>VLOOKUP($D118,tbl_ERP[],7,0)</f>
        <v>961118746103.06384</v>
      </c>
      <c r="P118" s="39">
        <f>INDEX(tbl_transport[],MATCH($D$118,tbl_transport[ERP identifier],0),MATCH(RP_SICUT!O$14,tbl_transport[#Headers],0))</f>
        <v>0</v>
      </c>
      <c r="R118" s="5">
        <f>VLOOKUP($D118,tbl_ERP[],7,0)</f>
        <v>961118746103.06384</v>
      </c>
      <c r="S118" s="39">
        <f>INDEX(tbl_transport[],MATCH($D$118,tbl_transport[ERP identifier],0),MATCH(RP_SICUT!R$14,tbl_transport[#Headers],0))</f>
        <v>0</v>
      </c>
    </row>
    <row r="119" spans="1:19" x14ac:dyDescent="0.55000000000000004">
      <c r="A119" s="90"/>
      <c r="B119" s="25"/>
    </row>
    <row r="120" spans="1:19" x14ac:dyDescent="0.55000000000000004">
      <c r="A120" s="90"/>
      <c r="B120" s="25"/>
      <c r="C120" s="1" t="s">
        <v>66</v>
      </c>
      <c r="D120" s="1" t="s">
        <v>203</v>
      </c>
      <c r="E120" s="46" t="s">
        <v>105</v>
      </c>
      <c r="F120" s="39">
        <f>(F$27+F$55)/1000*INDEX(tbl_sleeper[],MATCH($A$3,tbl_sleeper[sleeper type],0),MATCH(RP_SICUT!$D$120,tbl_sleeper[#Headers],0))</f>
        <v>0</v>
      </c>
      <c r="I120" s="39">
        <f>(I$27+I$55)/1000*INDEX(tbl_sleeper[],MATCH($A$3,tbl_sleeper[sleeper type],0),MATCH(RP_SICUT!$D$120,tbl_sleeper[#Headers],0))</f>
        <v>0</v>
      </c>
      <c r="L120" s="39">
        <f>(L$27+L$55)/1000*INDEX(tbl_sleeper[],MATCH($A$3,tbl_sleeper[sleeper type],0),MATCH(RP_SICUT!$D$120,tbl_sleeper[#Headers],0))</f>
        <v>0</v>
      </c>
      <c r="O120" s="39">
        <f>(O$27+O$55)/1000*INDEX(tbl_sleeper[],MATCH($A$3,tbl_sleeper[sleeper type],0),MATCH(RP_SICUT!$D$120,tbl_sleeper[#Headers],0))</f>
        <v>0</v>
      </c>
      <c r="R120" s="39">
        <f>(R$27+R$55)/1000*INDEX(tbl_sleeper[],MATCH($A$3,tbl_sleeper[sleeper type],0),MATCH(RP_SICUT!$D$120,tbl_sleeper[#Headers],0))</f>
        <v>0</v>
      </c>
    </row>
    <row r="121" spans="1:19" x14ac:dyDescent="0.55000000000000004">
      <c r="A121" s="90"/>
      <c r="B121" s="25"/>
      <c r="C121" s="1" t="s">
        <v>66</v>
      </c>
      <c r="D121" s="1" t="s">
        <v>204</v>
      </c>
      <c r="E121" s="46" t="s">
        <v>105</v>
      </c>
      <c r="F121" s="39">
        <f>(F$27+F$55)/1000*INDEX(tbl_sleeper[],MATCH($A$3,tbl_sleeper[sleeper type],0),MATCH(RP_SICUT!$D$121,tbl_sleeper[#Headers],0))</f>
        <v>51.000000000000007</v>
      </c>
      <c r="I121" s="39">
        <f>(I$27+I$55)/1000*INDEX(tbl_sleeper[],MATCH($A$3,tbl_sleeper[sleeper type],0),MATCH(RP_SICUT!$D$121,tbl_sleeper[#Headers],0))</f>
        <v>51.000000000000007</v>
      </c>
      <c r="L121" s="39">
        <f>(L$27+L$55)/1000*INDEX(tbl_sleeper[],MATCH($A$3,tbl_sleeper[sleeper type],0),MATCH(RP_SICUT!$D$121,tbl_sleeper[#Headers],0))</f>
        <v>51.000000000000007</v>
      </c>
      <c r="O121" s="39">
        <f>(O$27+O$55)/1000*INDEX(tbl_sleeper[],MATCH($A$3,tbl_sleeper[sleeper type],0),MATCH(RP_SICUT!$D$121,tbl_sleeper[#Headers],0))</f>
        <v>51.000000000000007</v>
      </c>
      <c r="R121" s="39">
        <f>(R$27+R$55)/1000*INDEX(tbl_sleeper[],MATCH($A$3,tbl_sleeper[sleeper type],0),MATCH(RP_SICUT!$D$121,tbl_sleeper[#Headers],0))</f>
        <v>51.000000000000007</v>
      </c>
    </row>
    <row r="122" spans="1:19" x14ac:dyDescent="0.55000000000000004">
      <c r="A122" s="90"/>
      <c r="C122" s="1" t="s">
        <v>66</v>
      </c>
      <c r="D122" s="1" t="s">
        <v>106</v>
      </c>
      <c r="E122" s="46" t="s">
        <v>105</v>
      </c>
      <c r="F122" s="26">
        <f>SUM(F120:F121)</f>
        <v>51.000000000000007</v>
      </c>
      <c r="I122" s="26">
        <f>SUM(I120:I121)</f>
        <v>51.000000000000007</v>
      </c>
      <c r="L122" s="26">
        <f>SUM(L120:L121)</f>
        <v>51.000000000000007</v>
      </c>
      <c r="O122" s="26">
        <f>SUM(O120:O121)</f>
        <v>51.000000000000007</v>
      </c>
      <c r="R122" s="26">
        <f>SUM(R120:R121)</f>
        <v>51.000000000000007</v>
      </c>
    </row>
    <row r="123" spans="1:19" x14ac:dyDescent="0.55000000000000004">
      <c r="A123" s="90"/>
    </row>
    <row r="124" spans="1:19" ht="19.8" x14ac:dyDescent="0.65">
      <c r="A124" s="90"/>
      <c r="B124" s="9" t="s">
        <v>31</v>
      </c>
      <c r="C124" s="3" t="s">
        <v>43</v>
      </c>
      <c r="D124" s="1" t="s">
        <v>160</v>
      </c>
      <c r="E124" s="25" t="s">
        <v>1</v>
      </c>
      <c r="F124" s="6">
        <f>F122/F19*(G114/F114+G115/F115+G116/F116+G117/F117+G118/F118)</f>
        <v>5.7119915834175698E-14</v>
      </c>
      <c r="I124" s="6">
        <f>I122/I19*(J114/I114+J115/I115+J116/I116+J117/I117+J118/I118)</f>
        <v>5.7119915834175698E-14</v>
      </c>
      <c r="L124" s="6">
        <f>L122/L19*(M114/L114+M115/L115+M116/L116+M117/L117+M118/L118)</f>
        <v>3.8079943889450463E-14</v>
      </c>
      <c r="O124" s="6">
        <f>O122/O19*(P114/O114+P115/O115+P116/O116+P117/O117+P118/O118)</f>
        <v>2.8559957917087849E-14</v>
      </c>
      <c r="R124" s="6">
        <f>R122/R19*(S114/R114+S115/R115+S116/R116+S117/R117+S118/R118)</f>
        <v>2.8559957917087849E-14</v>
      </c>
    </row>
    <row r="127" spans="1:19" x14ac:dyDescent="0.55000000000000004">
      <c r="A127" s="90" t="s">
        <v>161</v>
      </c>
      <c r="B127" s="46" t="s">
        <v>107</v>
      </c>
      <c r="C127" s="1" t="s">
        <v>42</v>
      </c>
      <c r="G127" s="1" t="s">
        <v>67</v>
      </c>
      <c r="J127" s="1" t="s">
        <v>67</v>
      </c>
      <c r="M127" s="1" t="s">
        <v>67</v>
      </c>
      <c r="P127" s="1" t="s">
        <v>67</v>
      </c>
      <c r="S127" s="1" t="s">
        <v>67</v>
      </c>
    </row>
    <row r="128" spans="1:19" x14ac:dyDescent="0.55000000000000004">
      <c r="A128" s="90"/>
      <c r="B128" s="25" t="s">
        <v>10</v>
      </c>
      <c r="C128" s="1" t="s">
        <v>26</v>
      </c>
      <c r="D128" t="s">
        <v>121</v>
      </c>
      <c r="E128" s="46" t="s">
        <v>104</v>
      </c>
      <c r="F128" s="5">
        <f>VLOOKUP($D128,tbl_ERP[],7,0)</f>
        <v>18325079790826.645</v>
      </c>
      <c r="G128" s="39">
        <f>INDEX(tbl_transport[],MATCH($D$128,tbl_transport[ERP identifier],0),MATCH(RP_SICUT!F$15,tbl_transport[#Headers],0))</f>
        <v>0</v>
      </c>
      <c r="I128" s="5">
        <f>VLOOKUP($D128,tbl_ERP[],7,0)</f>
        <v>18325079790826.645</v>
      </c>
      <c r="J128" s="39">
        <f>INDEX(tbl_transport[],MATCH($D$128,tbl_transport[ERP identifier],0),MATCH(RP_SICUT!I$15,tbl_transport[#Headers],0))</f>
        <v>0</v>
      </c>
      <c r="L128" s="5">
        <f>VLOOKUP($D128,tbl_ERP[],7,0)</f>
        <v>18325079790826.645</v>
      </c>
      <c r="M128" s="39">
        <f>INDEX(tbl_transport[],MATCH($D$128,tbl_transport[ERP identifier],0),MATCH(RP_SICUT!L$15,tbl_transport[#Headers],0))</f>
        <v>0</v>
      </c>
      <c r="O128" s="5">
        <f>VLOOKUP($D128,tbl_ERP[],7,0)</f>
        <v>18325079790826.645</v>
      </c>
      <c r="P128" s="39">
        <f>INDEX(tbl_transport[],MATCH($D$128,tbl_transport[ERP identifier],0),MATCH(RP_SICUT!O$15,tbl_transport[#Headers],0))</f>
        <v>0</v>
      </c>
      <c r="R128" s="5">
        <f>VLOOKUP($D128,tbl_ERP[],7,0)</f>
        <v>18325079790826.645</v>
      </c>
      <c r="S128" s="39">
        <f>INDEX(tbl_transport[],MATCH($D$128,tbl_transport[ERP identifier],0),MATCH(RP_SICUT!R$15,tbl_transport[#Headers],0))</f>
        <v>0</v>
      </c>
    </row>
    <row r="129" spans="1:19" x14ac:dyDescent="0.55000000000000004">
      <c r="A129" s="90"/>
      <c r="B129" s="25"/>
      <c r="D129" t="s">
        <v>122</v>
      </c>
      <c r="E129" s="46" t="s">
        <v>104</v>
      </c>
      <c r="F129" s="5">
        <f>VLOOKUP($D129,tbl_ERP[],7,0)</f>
        <v>69650235049065.984</v>
      </c>
      <c r="G129" s="39">
        <f>INDEX(tbl_transport[],MATCH($D$129,tbl_transport[ERP identifier],0),MATCH(RP_SICUT!F$15,tbl_transport[#Headers],0))</f>
        <v>0.5</v>
      </c>
      <c r="I129" s="5">
        <f>VLOOKUP($D129,tbl_ERP[],7,0)</f>
        <v>69650235049065.984</v>
      </c>
      <c r="J129" s="39">
        <f>INDEX(tbl_transport[],MATCH($D$129,tbl_transport[ERP identifier],0),MATCH(RP_SICUT!I$15,tbl_transport[#Headers],0))</f>
        <v>0.5</v>
      </c>
      <c r="L129" s="5">
        <f>VLOOKUP($D129,tbl_ERP[],7,0)</f>
        <v>69650235049065.984</v>
      </c>
      <c r="M129" s="39">
        <f>INDEX(tbl_transport[],MATCH($D$129,tbl_transport[ERP identifier],0),MATCH(RP_SICUT!L$15,tbl_transport[#Headers],0))</f>
        <v>0.5</v>
      </c>
      <c r="O129" s="5">
        <f>VLOOKUP($D129,tbl_ERP[],7,0)</f>
        <v>69650235049065.984</v>
      </c>
      <c r="P129" s="39">
        <f>INDEX(tbl_transport[],MATCH($D$129,tbl_transport[ERP identifier],0),MATCH(RP_SICUT!O$15,tbl_transport[#Headers],0))</f>
        <v>0.5</v>
      </c>
      <c r="R129" s="5">
        <f>VLOOKUP($D129,tbl_ERP[],7,0)</f>
        <v>69650235049065.984</v>
      </c>
      <c r="S129" s="39">
        <f>INDEX(tbl_transport[],MATCH($D$129,tbl_transport[ERP identifier],0),MATCH(RP_SICUT!R$15,tbl_transport[#Headers],0))</f>
        <v>0.5</v>
      </c>
    </row>
    <row r="130" spans="1:19" x14ac:dyDescent="0.55000000000000004">
      <c r="A130" s="90"/>
      <c r="B130" s="25"/>
      <c r="D130" t="s">
        <v>123</v>
      </c>
      <c r="E130" s="46" t="s">
        <v>104</v>
      </c>
      <c r="F130" s="5">
        <f>VLOOKUP($D130,tbl_ERP[],7,0)</f>
        <v>3442565475385.4912</v>
      </c>
      <c r="G130" s="39">
        <f>INDEX(tbl_transport[],MATCH($D$130,tbl_transport[ERP identifier],0),MATCH(RP_SICUT!F$15,tbl_transport[#Headers],0))</f>
        <v>0</v>
      </c>
      <c r="I130" s="5">
        <f>VLOOKUP($D130,tbl_ERP[],7,0)</f>
        <v>3442565475385.4912</v>
      </c>
      <c r="J130" s="39">
        <f>INDEX(tbl_transport[],MATCH($D$130,tbl_transport[ERP identifier],0),MATCH(RP_SICUT!I$15,tbl_transport[#Headers],0))</f>
        <v>0</v>
      </c>
      <c r="L130" s="5">
        <f>VLOOKUP($D130,tbl_ERP[],7,0)</f>
        <v>3442565475385.4912</v>
      </c>
      <c r="M130" s="39">
        <f>INDEX(tbl_transport[],MATCH($D$130,tbl_transport[ERP identifier],0),MATCH(RP_SICUT!L$15,tbl_transport[#Headers],0))</f>
        <v>0</v>
      </c>
      <c r="O130" s="5">
        <f>VLOOKUP($D130,tbl_ERP[],7,0)</f>
        <v>3442565475385.4912</v>
      </c>
      <c r="P130" s="39">
        <f>INDEX(tbl_transport[],MATCH($D$130,tbl_transport[ERP identifier],0),MATCH(RP_SICUT!O$15,tbl_transport[#Headers],0))</f>
        <v>0</v>
      </c>
      <c r="R130" s="5">
        <f>VLOOKUP($D130,tbl_ERP[],7,0)</f>
        <v>3442565475385.4912</v>
      </c>
      <c r="S130" s="39">
        <f>INDEX(tbl_transport[],MATCH($D$130,tbl_transport[ERP identifier],0),MATCH(RP_SICUT!R$15,tbl_transport[#Headers],0))</f>
        <v>0</v>
      </c>
    </row>
    <row r="131" spans="1:19" x14ac:dyDescent="0.55000000000000004">
      <c r="A131" s="90"/>
      <c r="B131" s="25"/>
      <c r="D131" t="s">
        <v>124</v>
      </c>
      <c r="E131" s="46" t="s">
        <v>104</v>
      </c>
      <c r="F131" s="5">
        <f>VLOOKUP($D131,tbl_ERP[],7,0)</f>
        <v>90703359848000.953</v>
      </c>
      <c r="G131" s="39">
        <f>INDEX(tbl_transport[],MATCH($D$131,tbl_transport[ERP identifier],0),MATCH(RP_SICUT!F$15,tbl_transport[#Headers],0))</f>
        <v>0.5</v>
      </c>
      <c r="I131" s="5">
        <f>VLOOKUP($D131,tbl_ERP[],7,0)</f>
        <v>90703359848000.953</v>
      </c>
      <c r="J131" s="39">
        <f>INDEX(tbl_transport[],MATCH($D$131,tbl_transport[ERP identifier],0),MATCH(RP_SICUT!I$15,tbl_transport[#Headers],0))</f>
        <v>0.5</v>
      </c>
      <c r="L131" s="5">
        <f>VLOOKUP($D131,tbl_ERP[],7,0)</f>
        <v>90703359848000.953</v>
      </c>
      <c r="M131" s="39">
        <f>INDEX(tbl_transport[],MATCH($D$131,tbl_transport[ERP identifier],0),MATCH(RP_SICUT!L$15,tbl_transport[#Headers],0))</f>
        <v>0.5</v>
      </c>
      <c r="O131" s="5">
        <f>VLOOKUP($D131,tbl_ERP[],7,0)</f>
        <v>90703359848000.953</v>
      </c>
      <c r="P131" s="39">
        <f>INDEX(tbl_transport[],MATCH($D$131,tbl_transport[ERP identifier],0),MATCH(RP_SICUT!O$15,tbl_transport[#Headers],0))</f>
        <v>0.5</v>
      </c>
      <c r="R131" s="5">
        <f>VLOOKUP($D131,tbl_ERP[],7,0)</f>
        <v>90703359848000.953</v>
      </c>
      <c r="S131" s="39">
        <f>INDEX(tbl_transport[],MATCH($D$131,tbl_transport[ERP identifier],0),MATCH(RP_SICUT!R$15,tbl_transport[#Headers],0))</f>
        <v>0.5</v>
      </c>
    </row>
    <row r="132" spans="1:19" x14ac:dyDescent="0.55000000000000004">
      <c r="A132" s="90"/>
      <c r="B132" s="25"/>
      <c r="D132" t="s">
        <v>125</v>
      </c>
      <c r="E132" s="46" t="s">
        <v>104</v>
      </c>
      <c r="F132" s="5">
        <f>VLOOKUP($D132,tbl_ERP[],7,0)</f>
        <v>961118746103.06384</v>
      </c>
      <c r="G132" s="39">
        <f>INDEX(tbl_transport[],MATCH($D$132,tbl_transport[ERP identifier],0),MATCH(RP_SICUT!F$15,tbl_transport[#Headers],0))</f>
        <v>0</v>
      </c>
      <c r="I132" s="5">
        <f>VLOOKUP($D132,tbl_ERP[],7,0)</f>
        <v>961118746103.06384</v>
      </c>
      <c r="J132" s="39">
        <f>INDEX(tbl_transport[],MATCH($D$132,tbl_transport[ERP identifier],0),MATCH(RP_SICUT!I$15,tbl_transport[#Headers],0))</f>
        <v>0</v>
      </c>
      <c r="L132" s="5">
        <f>VLOOKUP($D132,tbl_ERP[],7,0)</f>
        <v>961118746103.06384</v>
      </c>
      <c r="M132" s="39">
        <f>INDEX(tbl_transport[],MATCH($D$132,tbl_transport[ERP identifier],0),MATCH(RP_SICUT!L$15,tbl_transport[#Headers],0))</f>
        <v>0</v>
      </c>
      <c r="O132" s="5">
        <f>VLOOKUP($D132,tbl_ERP[],7,0)</f>
        <v>961118746103.06384</v>
      </c>
      <c r="P132" s="39">
        <f>INDEX(tbl_transport[],MATCH($D$132,tbl_transport[ERP identifier],0),MATCH(RP_SICUT!O$15,tbl_transport[#Headers],0))</f>
        <v>0</v>
      </c>
      <c r="R132" s="5">
        <f>VLOOKUP($D132,tbl_ERP[],7,0)</f>
        <v>961118746103.06384</v>
      </c>
      <c r="S132" s="39">
        <f>INDEX(tbl_transport[],MATCH($D$132,tbl_transport[ERP identifier],0),MATCH(RP_SICUT!R$15,tbl_transport[#Headers],0))</f>
        <v>0</v>
      </c>
    </row>
    <row r="133" spans="1:19" x14ac:dyDescent="0.55000000000000004">
      <c r="A133" s="90"/>
      <c r="B133" s="25"/>
    </row>
    <row r="134" spans="1:19" x14ac:dyDescent="0.55000000000000004">
      <c r="A134" s="90"/>
      <c r="B134" s="25"/>
      <c r="C134" s="1" t="s">
        <v>66</v>
      </c>
      <c r="D134" s="1" t="s">
        <v>205</v>
      </c>
      <c r="E134" s="46" t="s">
        <v>105</v>
      </c>
      <c r="F134" s="39">
        <f>(F$27+F$55)/1000*INDEX(tbl_sleeper[],MATCH($A$3,tbl_sleeper[sleeper type],0),MATCH(RP_SICUT!$D$134,tbl_sleeper[#Headers],0))</f>
        <v>0</v>
      </c>
      <c r="I134" s="39">
        <f>(I$27+I$55)/1000*INDEX(tbl_sleeper[],MATCH($A$3,tbl_sleeper[sleeper type],0),MATCH(RP_SICUT!$D$134,tbl_sleeper[#Headers],0))</f>
        <v>0</v>
      </c>
      <c r="L134" s="39">
        <f>(L$27+L$55)/1000*INDEX(tbl_sleeper[],MATCH($A$3,tbl_sleeper[sleeper type],0),MATCH(RP_SICUT!$D$134,tbl_sleeper[#Headers],0))</f>
        <v>0</v>
      </c>
      <c r="O134" s="39">
        <f>(O$27+O$55)/1000*INDEX(tbl_sleeper[],MATCH($A$3,tbl_sleeper[sleeper type],0),MATCH(RP_SICUT!$D$134,tbl_sleeper[#Headers],0))</f>
        <v>0</v>
      </c>
      <c r="R134" s="39">
        <f>(R$27+R$55)/1000*INDEX(tbl_sleeper[],MATCH($A$3,tbl_sleeper[sleeper type],0),MATCH(RP_SICUT!$D$134,tbl_sleeper[#Headers],0))</f>
        <v>0</v>
      </c>
    </row>
    <row r="135" spans="1:19" x14ac:dyDescent="0.55000000000000004">
      <c r="A135" s="90"/>
      <c r="C135" s="1" t="s">
        <v>66</v>
      </c>
      <c r="D135" s="1" t="s">
        <v>106</v>
      </c>
      <c r="E135" s="46" t="s">
        <v>105</v>
      </c>
      <c r="F135" s="26">
        <f>SUM(F134)</f>
        <v>0</v>
      </c>
      <c r="I135" s="26">
        <f>SUM(I134)</f>
        <v>0</v>
      </c>
      <c r="L135" s="26">
        <f>SUM(L134)</f>
        <v>0</v>
      </c>
      <c r="O135" s="26">
        <f>SUM(O134)</f>
        <v>0</v>
      </c>
      <c r="R135" s="26">
        <f>SUM(R134)</f>
        <v>0</v>
      </c>
    </row>
    <row r="136" spans="1:19" x14ac:dyDescent="0.55000000000000004">
      <c r="A136" s="90"/>
    </row>
    <row r="137" spans="1:19" ht="19.8" x14ac:dyDescent="0.65">
      <c r="A137" s="90"/>
      <c r="B137" s="9" t="s">
        <v>31</v>
      </c>
      <c r="C137" s="3" t="s">
        <v>43</v>
      </c>
      <c r="D137" s="1" t="s">
        <v>161</v>
      </c>
      <c r="E137" s="25" t="s">
        <v>1</v>
      </c>
      <c r="F137" s="6">
        <f>F135/F19*(G128/F128+G129/F129+G130/F130+G131/F131+G132/F132)</f>
        <v>0</v>
      </c>
      <c r="I137" s="6">
        <f>I135/I19*(J128/I128+J129/I129+J130/I130+J131/I131+J132/I132)</f>
        <v>0</v>
      </c>
      <c r="L137" s="6">
        <f>L135/L19*(M128/L128+M129/L129+M130/L130+M131/L131+M132/L132)</f>
        <v>0</v>
      </c>
      <c r="O137" s="6">
        <f>O135/O19*(P128/O128+P129/O129+P130/O130+P131/O131+P132/O132)</f>
        <v>0</v>
      </c>
      <c r="R137" s="6">
        <f>R135/R19*(S128/R128+S129/R129+S130/R130+S131/R131+S132/R132)</f>
        <v>0</v>
      </c>
    </row>
  </sheetData>
  <mergeCells count="16">
    <mergeCell ref="A21:A46"/>
    <mergeCell ref="B24:B25"/>
    <mergeCell ref="B27:B30"/>
    <mergeCell ref="B32:B35"/>
    <mergeCell ref="B37:B40"/>
    <mergeCell ref="B42:B44"/>
    <mergeCell ref="B52:B53"/>
    <mergeCell ref="B55:B58"/>
    <mergeCell ref="B60:B63"/>
    <mergeCell ref="B65:B68"/>
    <mergeCell ref="B70:B72"/>
    <mergeCell ref="A77:A95"/>
    <mergeCell ref="A98:A110"/>
    <mergeCell ref="A113:A124"/>
    <mergeCell ref="A127:A137"/>
    <mergeCell ref="A49:A74"/>
  </mergeCells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981175-b7d3-4379-93df-6e6c1a833129">
      <Terms xmlns="http://schemas.microsoft.com/office/infopath/2007/PartnerControls"/>
    </lcf76f155ced4ddcb4097134ff3c332f>
    <TaxCatchAll xmlns="0a42ed2d-39eb-4e97-aff9-6f02d8ce68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2E1E3295DAD468D0E330995A2CE64" ma:contentTypeVersion="10" ma:contentTypeDescription="Create a new document." ma:contentTypeScope="" ma:versionID="58a518fed503b109d6b0beb538f47a1c">
  <xsd:schema xmlns:xsd="http://www.w3.org/2001/XMLSchema" xmlns:xs="http://www.w3.org/2001/XMLSchema" xmlns:p="http://schemas.microsoft.com/office/2006/metadata/properties" xmlns:ns2="17981175-b7d3-4379-93df-6e6c1a833129" xmlns:ns3="0a42ed2d-39eb-4e97-aff9-6f02d8ce68a7" targetNamespace="http://schemas.microsoft.com/office/2006/metadata/properties" ma:root="true" ma:fieldsID="f67a0ad5cf9604a5e8728636460d13d1" ns2:_="" ns3:_="">
    <xsd:import namespace="17981175-b7d3-4379-93df-6e6c1a833129"/>
    <xsd:import namespace="0a42ed2d-39eb-4e97-aff9-6f02d8ce6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81175-b7d3-4379-93df-6e6c1a833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167b81-19b1-4c6e-9032-8a428edbd3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2ed2d-39eb-4e97-aff9-6f02d8ce6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21c85b-5440-400f-a20a-6ce4072f86b5}" ma:internalName="TaxCatchAll" ma:showField="CatchAllData" ma:web="0a42ed2d-39eb-4e97-aff9-6f02d8ce6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7D761A-B7EA-4CF4-B999-B93A7DE0C1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34968-B5A3-4E16-A8A1-DD6BA7183EB6}">
  <ds:schemaRefs>
    <ds:schemaRef ds:uri="http://schemas.microsoft.com/office/2006/metadata/properties"/>
    <ds:schemaRef ds:uri="http://schemas.microsoft.com/office/infopath/2007/PartnerControls"/>
    <ds:schemaRef ds:uri="e015b4b7-b3bf-43ed-a43a-85a5f31b16a5"/>
    <ds:schemaRef ds:uri="3d6d93f4-9874-4e22-9c99-054977d2fc59"/>
  </ds:schemaRefs>
</ds:datastoreItem>
</file>

<file path=customXml/itemProps3.xml><?xml version="1.0" encoding="utf-8"?>
<ds:datastoreItem xmlns:ds="http://schemas.openxmlformats.org/officeDocument/2006/customXml" ds:itemID="{EDEEBB9C-F86C-4B05-97D5-121F332EBE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Overview</vt:lpstr>
      <vt:lpstr>Materials and energy</vt:lpstr>
      <vt:lpstr>ERP</vt:lpstr>
      <vt:lpstr>RP_wood</vt:lpstr>
      <vt:lpstr>RP_concrete</vt:lpstr>
      <vt:lpstr>RP_SICUT</vt:lpstr>
      <vt:lpstr>heat_pump_factor</vt:lpstr>
      <vt:lpstr>lifetime_concrete</vt:lpstr>
      <vt:lpstr>lifetime_SICUT</vt:lpstr>
      <vt:lpstr>lifetime_wood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2026-01-12T13:31:04Z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0x0101003F52E1E3295DAD468D0E330995A2CE64</vt:lpwstr>
  </property>
  <property fmtid="{D5CDD505-2E9C-101B-9397-08002B2CF9AE}" pid="3" name="MediaServiceImageTags">
    <vt:lpwstr/>
  </property>
</Properties>
</file>